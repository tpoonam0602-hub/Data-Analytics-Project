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f018860770e5cd9/Desktop/Poonam Data Analysis/"/>
    </mc:Choice>
  </mc:AlternateContent>
  <xr:revisionPtr revIDLastSave="294" documentId="13_ncr:1_{7AD86B12-0FA3-443E-AA9F-18A346C27C5D}" xr6:coauthVersionLast="47" xr6:coauthVersionMax="47" xr10:uidLastSave="{8CCE6743-3FA5-4DB8-83AC-3D2335676017}"/>
  <bookViews>
    <workbookView xWindow="-108" yWindow="-108" windowWidth="23256" windowHeight="12456" activeTab="2" xr2:uid="{00000000-000D-0000-FFFF-FFFF00000000}"/>
  </bookViews>
  <sheets>
    <sheet name="Customers" sheetId="1" r:id="rId1"/>
    <sheet name="Orders" sheetId="2" r:id="rId2"/>
    <sheet name="Sheet1" sheetId="24" r:id="rId3"/>
  </sheets>
  <definedNames>
    <definedName name="_xlnm._FilterDatabase" localSheetId="0" hidden="1">Customers!$I$1:$I$201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K3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G2" i="2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/>
  <c r="M9" i="1" a="1"/>
  <c r="M9" i="1" s="1"/>
  <c r="M10" i="1" a="1"/>
  <c r="M10" i="1" s="1"/>
  <c r="M11" i="1" a="1"/>
  <c r="M11" i="1" s="1"/>
  <c r="M12" i="1" a="1"/>
  <c r="M12" i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/>
  <c r="M20" i="1" a="1"/>
  <c r="M20" i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/>
  <c r="M38" i="1" a="1"/>
  <c r="M38" i="1"/>
  <c r="M39" i="1" a="1"/>
  <c r="M39" i="1" s="1"/>
  <c r="M40" i="1" a="1"/>
  <c r="M40" i="1" s="1"/>
  <c r="M41" i="1" a="1"/>
  <c r="M41" i="1" s="1"/>
  <c r="M42" i="1" a="1"/>
  <c r="M42" i="1"/>
  <c r="M43" i="1" a="1"/>
  <c r="M43" i="1" s="1"/>
  <c r="M44" i="1" a="1"/>
  <c r="M44" i="1" s="1"/>
  <c r="M45" i="1" a="1"/>
  <c r="M45" i="1" s="1"/>
  <c r="M46" i="1" a="1"/>
  <c r="M46" i="1"/>
  <c r="M47" i="1" a="1"/>
  <c r="M47" i="1" s="1"/>
  <c r="M48" i="1" a="1"/>
  <c r="M48" i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/>
  <c r="M63" i="1" a="1"/>
  <c r="M63" i="1" s="1"/>
  <c r="M64" i="1" a="1"/>
  <c r="M64" i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/>
  <c r="M79" i="1" a="1"/>
  <c r="M79" i="1" s="1"/>
  <c r="M80" i="1" a="1"/>
  <c r="M80" i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/>
  <c r="M89" i="1" a="1"/>
  <c r="M89" i="1" s="1"/>
  <c r="M90" i="1" a="1"/>
  <c r="M90" i="1" s="1"/>
  <c r="M91" i="1" a="1"/>
  <c r="M91" i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/>
  <c r="M105" i="1" a="1"/>
  <c r="M105" i="1" s="1"/>
  <c r="M106" i="1" a="1"/>
  <c r="M106" i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/>
  <c r="M140" i="1" a="1"/>
  <c r="M140" i="1" s="1"/>
  <c r="M141" i="1" a="1"/>
  <c r="M141" i="1" s="1"/>
  <c r="M142" i="1" a="1"/>
  <c r="M142" i="1" s="1"/>
  <c r="M143" i="1" a="1"/>
  <c r="M143" i="1" s="1"/>
  <c r="M144" i="1" a="1"/>
  <c r="M144" i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/>
  <c r="M151" i="1" a="1"/>
  <c r="M151" i="1" s="1"/>
  <c r="M152" i="1" a="1"/>
  <c r="M152" i="1" s="1"/>
  <c r="M153" i="1" a="1"/>
  <c r="M153" i="1" s="1"/>
  <c r="M154" i="1" a="1"/>
  <c r="M154" i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/>
  <c r="M167" i="1" a="1"/>
  <c r="M167" i="1" s="1"/>
  <c r="M168" i="1" a="1"/>
  <c r="M168" i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/>
  <c r="M176" i="1" a="1"/>
  <c r="M176" i="1" s="1"/>
  <c r="M177" i="1" a="1"/>
  <c r="M177" i="1" s="1"/>
  <c r="M178" i="1" a="1"/>
  <c r="M178" i="1" s="1"/>
  <c r="M179" i="1" a="1"/>
  <c r="M179" i="1" s="1"/>
  <c r="M180" i="1" a="1"/>
  <c r="M180" i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" i="1" a="1"/>
  <c r="M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446E22-D7E7-46A3-A851-03174B8FEF4C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<sst xmlns="http://schemas.openxmlformats.org/spreadsheetml/2006/main" count="4729" uniqueCount="1594">
  <si>
    <t>CustomerID</t>
  </si>
  <si>
    <t>FirstName</t>
  </si>
  <si>
    <t>LastName</t>
  </si>
  <si>
    <t>FullName</t>
  </si>
  <si>
    <t>Email</t>
  </si>
  <si>
    <t>Phone</t>
  </si>
  <si>
    <t>AccountNumber</t>
  </si>
  <si>
    <t>DOB</t>
  </si>
  <si>
    <t>Gender</t>
  </si>
  <si>
    <t>SignupDate</t>
  </si>
  <si>
    <t>LoyaltyPoints</t>
  </si>
  <si>
    <t>Street</t>
  </si>
  <si>
    <t>City</t>
  </si>
  <si>
    <t>State</t>
  </si>
  <si>
    <t>ZIP</t>
  </si>
  <si>
    <t>Country</t>
  </si>
  <si>
    <t>CUST0001</t>
  </si>
  <si>
    <t>Akash</t>
  </si>
  <si>
    <t>Anderson</t>
  </si>
  <si>
    <t>Akash Anderson</t>
  </si>
  <si>
    <t>akash.anderson73@example.com</t>
  </si>
  <si>
    <t>+919823467626</t>
  </si>
  <si>
    <t>Male</t>
  </si>
  <si>
    <t>183 Garden Street</t>
  </si>
  <si>
    <t>Chennai</t>
  </si>
  <si>
    <t>West Bengal</t>
  </si>
  <si>
    <t>India</t>
  </si>
  <si>
    <t>CUST0002</t>
  </si>
  <si>
    <t>Aisha</t>
  </si>
  <si>
    <t>Williams</t>
  </si>
  <si>
    <t>Aisha Williams</t>
  </si>
  <si>
    <t>aisha.williams31@example.com</t>
  </si>
  <si>
    <t>+1-444-573-4635</t>
  </si>
  <si>
    <t>314 Sunset Boulevard</t>
  </si>
  <si>
    <t>Dallas</t>
  </si>
  <si>
    <t>Arizona</t>
  </si>
  <si>
    <t>United States</t>
  </si>
  <si>
    <t>CUST0003</t>
  </si>
  <si>
    <t>James</t>
  </si>
  <si>
    <t>White</t>
  </si>
  <si>
    <t>James White</t>
  </si>
  <si>
    <t>james.white4@example.com</t>
  </si>
  <si>
    <t>+1-257-960-5182</t>
  </si>
  <si>
    <t>316 Garden Street</t>
  </si>
  <si>
    <t>Austin</t>
  </si>
  <si>
    <t>Texas</t>
  </si>
  <si>
    <t>CUST0004</t>
  </si>
  <si>
    <t>Ava</t>
  </si>
  <si>
    <t>Verma</t>
  </si>
  <si>
    <t>Ava Verma</t>
  </si>
  <si>
    <t>ava.verma37@example.com</t>
  </si>
  <si>
    <t>+918400885222</t>
  </si>
  <si>
    <t>Other</t>
  </si>
  <si>
    <t>312 Garden Street</t>
  </si>
  <si>
    <t>Bengaluru</t>
  </si>
  <si>
    <t>CUST0005</t>
  </si>
  <si>
    <t>Arjun</t>
  </si>
  <si>
    <t>Harris</t>
  </si>
  <si>
    <t>Arjun Harris</t>
  </si>
  <si>
    <t>arjun.harris33@example.com</t>
  </si>
  <si>
    <t>+916493530604</t>
  </si>
  <si>
    <t>Female</t>
  </si>
  <si>
    <t>27 Main Street</t>
  </si>
  <si>
    <t>Jaipur</t>
  </si>
  <si>
    <t>Telangana</t>
  </si>
  <si>
    <t>CUST0006</t>
  </si>
  <si>
    <t>Ishaan</t>
  </si>
  <si>
    <t>Gupta</t>
  </si>
  <si>
    <t>Ishaan Gupta</t>
  </si>
  <si>
    <t>ishaan.gupta51@example.com</t>
  </si>
  <si>
    <t>+1-860-935-1672</t>
  </si>
  <si>
    <t>379 MG Road</t>
  </si>
  <si>
    <t>Houston</t>
  </si>
  <si>
    <t>Illinois</t>
  </si>
  <si>
    <t>CUST0007</t>
  </si>
  <si>
    <t>Nair</t>
  </si>
  <si>
    <t>Ishaan Nair</t>
  </si>
  <si>
    <t>ishaan.nair42@example.com</t>
  </si>
  <si>
    <t>+919308517034</t>
  </si>
  <si>
    <t>89 Main Street</t>
  </si>
  <si>
    <t>Lucknow</t>
  </si>
  <si>
    <t>Maharashtra</t>
  </si>
  <si>
    <t>CUST0008</t>
  </si>
  <si>
    <t>Vikram</t>
  </si>
  <si>
    <t>Khan</t>
  </si>
  <si>
    <t>Vikram Khan</t>
  </si>
  <si>
    <t>vikram.khan2@example.com</t>
  </si>
  <si>
    <t>+1-494-255-6365</t>
  </si>
  <si>
    <t>326 Garden Street</t>
  </si>
  <si>
    <t>Jacksonville</t>
  </si>
  <si>
    <t>CUST0009</t>
  </si>
  <si>
    <t>Rahul</t>
  </si>
  <si>
    <t>Singh</t>
  </si>
  <si>
    <t>Rahul Singh</t>
  </si>
  <si>
    <t>rahul.singh47@example.com</t>
  </si>
  <si>
    <t>+919195586679</t>
  </si>
  <si>
    <t>31 High Street</t>
  </si>
  <si>
    <t>Tamil Nadu</t>
  </si>
  <si>
    <t>CUST0010</t>
  </si>
  <si>
    <t>Manish</t>
  </si>
  <si>
    <t>Brown</t>
  </si>
  <si>
    <t>Manish Brown</t>
  </si>
  <si>
    <t>manish.brown98@example.com</t>
  </si>
  <si>
    <t>+916872705193</t>
  </si>
  <si>
    <t>358 High Street</t>
  </si>
  <si>
    <t>CUST0011</t>
  </si>
  <si>
    <t>Saanvi</t>
  </si>
  <si>
    <t>Saanvi Singh</t>
  </si>
  <si>
    <t>saanvi.singh20@example.com</t>
  </si>
  <si>
    <t>+917208100151</t>
  </si>
  <si>
    <t>327 Garden Street</t>
  </si>
  <si>
    <t>Pune</t>
  </si>
  <si>
    <t>Delhi</t>
  </si>
  <si>
    <t>CUST0012</t>
  </si>
  <si>
    <t>Emma</t>
  </si>
  <si>
    <t>Sharma</t>
  </si>
  <si>
    <t>Emma Sharma</t>
  </si>
  <si>
    <t>emma.sharma41@example.com</t>
  </si>
  <si>
    <t>+917487022823</t>
  </si>
  <si>
    <t>253 Sunset Boulevard</t>
  </si>
  <si>
    <t>Rajasthan</t>
  </si>
  <si>
    <t>CUST0013</t>
  </si>
  <si>
    <t>Arjun White</t>
  </si>
  <si>
    <t>arjun.white3@example.com</t>
  </si>
  <si>
    <t>+916568806196</t>
  </si>
  <si>
    <t>216 Lakeview Drive</t>
  </si>
  <si>
    <t>CUST0014</t>
  </si>
  <si>
    <t>Vivaan</t>
  </si>
  <si>
    <t>Patel</t>
  </si>
  <si>
    <t>Vivaan Patel</t>
  </si>
  <si>
    <t>vivaan.patel3@example.com</t>
  </si>
  <si>
    <t>+1-200-380-7966</t>
  </si>
  <si>
    <t>88 Church Road</t>
  </si>
  <si>
    <t>San Jose</t>
  </si>
  <si>
    <t>CUST0015</t>
  </si>
  <si>
    <t>Sara</t>
  </si>
  <si>
    <t>Jackson</t>
  </si>
  <si>
    <t>Sara Jackson</t>
  </si>
  <si>
    <t>sara.jackson30@example.com</t>
  </si>
  <si>
    <t>+916891591442</t>
  </si>
  <si>
    <t>336 School Lane</t>
  </si>
  <si>
    <t>CUST0016</t>
  </si>
  <si>
    <t>Noah</t>
  </si>
  <si>
    <t>Noah Gupta</t>
  </si>
  <si>
    <t>noah.gupta61@example.com</t>
  </si>
  <si>
    <t>+916660334877</t>
  </si>
  <si>
    <t>325 High Street</t>
  </si>
  <si>
    <t>Karnataka</t>
  </si>
  <si>
    <t>CUST0017</t>
  </si>
  <si>
    <t>Akash White</t>
  </si>
  <si>
    <t>akash.white61@example.com</t>
  </si>
  <si>
    <t>+916820805833</t>
  </si>
  <si>
    <t>10 Station Road</t>
  </si>
  <si>
    <t>CUST0018</t>
  </si>
  <si>
    <t>Karan</t>
  </si>
  <si>
    <t>Karan Williams</t>
  </si>
  <si>
    <t>karan.williams2@example.com</t>
  </si>
  <si>
    <t>+1-467-230-7706</t>
  </si>
  <si>
    <t>340 Station Road</t>
  </si>
  <si>
    <t>Phoenix</t>
  </si>
  <si>
    <t>CUST0019</t>
  </si>
  <si>
    <t>Mason</t>
  </si>
  <si>
    <t>Thomas</t>
  </si>
  <si>
    <t>Mason Thomas</t>
  </si>
  <si>
    <t>mason.thomas5@example.com</t>
  </si>
  <si>
    <t>+1-265-313-2717</t>
  </si>
  <si>
    <t>132 Sunset Boulevard</t>
  </si>
  <si>
    <t>New York</t>
  </si>
  <si>
    <t>CUST0020</t>
  </si>
  <si>
    <t>Liam</t>
  </si>
  <si>
    <t>Liam White</t>
  </si>
  <si>
    <t>liam.white72@example.com</t>
  </si>
  <si>
    <t>+1-679-293-4944</t>
  </si>
  <si>
    <t>187 Church Road</t>
  </si>
  <si>
    <t>San Diego</t>
  </si>
  <si>
    <t>CUST0021</t>
  </si>
  <si>
    <t>Sophia</t>
  </si>
  <si>
    <t>Sophia Patel</t>
  </si>
  <si>
    <t>sophia.patel14@example.com</t>
  </si>
  <si>
    <t>+1-862-835-5214</t>
  </si>
  <si>
    <t>66 Park Avenue</t>
  </si>
  <si>
    <t>CUST0022</t>
  </si>
  <si>
    <t>Priya</t>
  </si>
  <si>
    <t>Mehta</t>
  </si>
  <si>
    <t>Priya Mehta</t>
  </si>
  <si>
    <t>priya.mehta75@example.com</t>
  </si>
  <si>
    <t>+917248822438</t>
  </si>
  <si>
    <t>65 Park Avenue</t>
  </si>
  <si>
    <t>Gujarat</t>
  </si>
  <si>
    <t>CUST0023</t>
  </si>
  <si>
    <t>Smith</t>
  </si>
  <si>
    <t>Akash Smith</t>
  </si>
  <si>
    <t>akash.smith24@example.com</t>
  </si>
  <si>
    <t>+918901945314</t>
  </si>
  <si>
    <t>396 Garden Street</t>
  </si>
  <si>
    <t>CUST0024</t>
  </si>
  <si>
    <t>Saanvi Brown</t>
  </si>
  <si>
    <t>saanvi.brown19@example.com</t>
  </si>
  <si>
    <t>+1-845-455-9114</t>
  </si>
  <si>
    <t>237 Main Street</t>
  </si>
  <si>
    <t>Florida</t>
  </si>
  <si>
    <t>CUST0025</t>
  </si>
  <si>
    <t>sophia.patel10@example.com</t>
  </si>
  <si>
    <t>+918230127025</t>
  </si>
  <si>
    <t>157 Lakeview Drive</t>
  </si>
  <si>
    <t>Uttar Pradesh</t>
  </si>
  <si>
    <t>CUST0026</t>
  </si>
  <si>
    <t>Arjun Anderson</t>
  </si>
  <si>
    <t>arjun.anderson20@example.com</t>
  </si>
  <si>
    <t>+1-771-882-2433</t>
  </si>
  <si>
    <t>70 School Lane</t>
  </si>
  <si>
    <t>Chicago</t>
  </si>
  <si>
    <t>California</t>
  </si>
  <si>
    <t>CUST0027</t>
  </si>
  <si>
    <t>Sophia Smith</t>
  </si>
  <si>
    <t>sophia.smith81@example.com</t>
  </si>
  <si>
    <t>+1-484-970-3901</t>
  </si>
  <si>
    <t>369 High Street</t>
  </si>
  <si>
    <t>CUST0028</t>
  </si>
  <si>
    <t>Vihaan</t>
  </si>
  <si>
    <t>Vihaan Mehta</t>
  </si>
  <si>
    <t>vihaan.mehta82@example.com</t>
  </si>
  <si>
    <t>+916843089901</t>
  </si>
  <si>
    <t>119 Garden Street</t>
  </si>
  <si>
    <t>CUST0029</t>
  </si>
  <si>
    <t>Vivaan Verma</t>
  </si>
  <si>
    <t>vivaan.verma16@example.com</t>
  </si>
  <si>
    <t>+1-796-601-4206</t>
  </si>
  <si>
    <t>283 School Lane</t>
  </si>
  <si>
    <t>CUST0030</t>
  </si>
  <si>
    <t>Karan Jackson</t>
  </si>
  <si>
    <t>karan.jackson52@example.com</t>
  </si>
  <si>
    <t>+917481143341</t>
  </si>
  <si>
    <t>139 Church Road</t>
  </si>
  <si>
    <t>CUST0031</t>
  </si>
  <si>
    <t>Diya</t>
  </si>
  <si>
    <t>Diya Mehta</t>
  </si>
  <si>
    <t>diya.mehta66@example.com</t>
  </si>
  <si>
    <t>+916833336742</t>
  </si>
  <si>
    <t>230 Main Street</t>
  </si>
  <si>
    <t>CUST0032</t>
  </si>
  <si>
    <t>Aarav</t>
  </si>
  <si>
    <t>Aarav White</t>
  </si>
  <si>
    <t>aarav.white40@example.com</t>
  </si>
  <si>
    <t>+919230343880</t>
  </si>
  <si>
    <t>207 Garden Street</t>
  </si>
  <si>
    <t>CUST0033</t>
  </si>
  <si>
    <t>Sophia Sharma</t>
  </si>
  <si>
    <t>sophia.sharma76@example.com</t>
  </si>
  <si>
    <t>+918876914186</t>
  </si>
  <si>
    <t>341 Station Road</t>
  </si>
  <si>
    <t>CUST0034</t>
  </si>
  <si>
    <t>William</t>
  </si>
  <si>
    <t>Reddy</t>
  </si>
  <si>
    <t>William Reddy</t>
  </si>
  <si>
    <t>william.reddy65@example.com</t>
  </si>
  <si>
    <t>+916183336369</t>
  </si>
  <si>
    <t>324 Garden Street</t>
  </si>
  <si>
    <t>CUST0035</t>
  </si>
  <si>
    <t>Isabella</t>
  </si>
  <si>
    <t>Isabella Mehta</t>
  </si>
  <si>
    <t>isabella.mehta24@example.com</t>
  </si>
  <si>
    <t>+1-639-451-1407</t>
  </si>
  <si>
    <t>338 Station Road</t>
  </si>
  <si>
    <t>CUST0036</t>
  </si>
  <si>
    <t>Aarav Harris</t>
  </si>
  <si>
    <t>aarav.harris6@example.com</t>
  </si>
  <si>
    <t>+917040029348</t>
  </si>
  <si>
    <t>56 MG Road</t>
  </si>
  <si>
    <t>CUST0037</t>
  </si>
  <si>
    <t>Ritu</t>
  </si>
  <si>
    <t>Ritu Anderson</t>
  </si>
  <si>
    <t>ritu.anderson85@example.com</t>
  </si>
  <si>
    <t>+1-685-593-4000</t>
  </si>
  <si>
    <t>94 Church Road</t>
  </si>
  <si>
    <t>CUST0038</t>
  </si>
  <si>
    <t>Aisha Verma</t>
  </si>
  <si>
    <t>aisha.verma69@example.com</t>
  </si>
  <si>
    <t>+1-685-611-1542</t>
  </si>
  <si>
    <t>112 Garden Street</t>
  </si>
  <si>
    <t>CUST0039</t>
  </si>
  <si>
    <t>Karan Singh</t>
  </si>
  <si>
    <t>karan.singh85@example.com</t>
  </si>
  <si>
    <t>+916620706357</t>
  </si>
  <si>
    <t>65 Church Road</t>
  </si>
  <si>
    <t>Kolkata</t>
  </si>
  <si>
    <t>CUST0040</t>
  </si>
  <si>
    <t>Johnson</t>
  </si>
  <si>
    <t>Diya Johnson</t>
  </si>
  <si>
    <t>diya.johnson56@example.com</t>
  </si>
  <si>
    <t>+916720374189</t>
  </si>
  <si>
    <t>56 Sunset Boulevard</t>
  </si>
  <si>
    <t>CUST0041</t>
  </si>
  <si>
    <t>Sara Brown</t>
  </si>
  <si>
    <t>sara.brown54@example.com</t>
  </si>
  <si>
    <t>+916420574518</t>
  </si>
  <si>
    <t>328 Garden Street</t>
  </si>
  <si>
    <t>CUST0042</t>
  </si>
  <si>
    <t>William Nair</t>
  </si>
  <si>
    <t>william.nair87@example.com</t>
  </si>
  <si>
    <t>+916943499811</t>
  </si>
  <si>
    <t>274 Station Road</t>
  </si>
  <si>
    <t>Mumbai</t>
  </si>
  <si>
    <t>CUST0043</t>
  </si>
  <si>
    <t>Manish Mehta</t>
  </si>
  <si>
    <t>manish.mehta75@example.com</t>
  </si>
  <si>
    <t>+1-578-408-6208</t>
  </si>
  <si>
    <t>302 School Lane</t>
  </si>
  <si>
    <t>CUST0044</t>
  </si>
  <si>
    <t>James Harris</t>
  </si>
  <si>
    <t>james.harris76@example.com</t>
  </si>
  <si>
    <t>+918881427308</t>
  </si>
  <si>
    <t>338 Sunset Boulevard</t>
  </si>
  <si>
    <t>CUST0045</t>
  </si>
  <si>
    <t>Vihaan Smith</t>
  </si>
  <si>
    <t>vihaan.smith59@example.com</t>
  </si>
  <si>
    <t>+1-402-360-4174</t>
  </si>
  <si>
    <t>259 MG Road</t>
  </si>
  <si>
    <t>CUST0046</t>
  </si>
  <si>
    <t>liam.white35@example.com</t>
  </si>
  <si>
    <t>+916794313039</t>
  </si>
  <si>
    <t>268 Church Road</t>
  </si>
  <si>
    <t>CUST0047</t>
  </si>
  <si>
    <t>Arjun Khan</t>
  </si>
  <si>
    <t>arjun.khan51@example.com</t>
  </si>
  <si>
    <t>+918298040012</t>
  </si>
  <si>
    <t>342 Park Avenue</t>
  </si>
  <si>
    <t>CUST0048</t>
  </si>
  <si>
    <t>Rahul Khan</t>
  </si>
  <si>
    <t>rahul.khan3@example.com</t>
  </si>
  <si>
    <t>+919914805944</t>
  </si>
  <si>
    <t>130 High Street</t>
  </si>
  <si>
    <t>CUST0049</t>
  </si>
  <si>
    <t>Vikram Mehta</t>
  </si>
  <si>
    <t>vikram.mehta50@example.com</t>
  </si>
  <si>
    <t>+916472514430</t>
  </si>
  <si>
    <t>166 Sunset Boulevard</t>
  </si>
  <si>
    <t>Kerala</t>
  </si>
  <si>
    <t>CUST0050</t>
  </si>
  <si>
    <t>+1-297-847-5548</t>
  </si>
  <si>
    <t>264 Sunset Boulevard</t>
  </si>
  <si>
    <t>CUST0051</t>
  </si>
  <si>
    <t>Ananya</t>
  </si>
  <si>
    <t>Ananya Jackson</t>
  </si>
  <si>
    <t>ananya.jackson31@example.com</t>
  </si>
  <si>
    <t>+916357260615</t>
  </si>
  <si>
    <t>45 Sunset Boulevard</t>
  </si>
  <si>
    <t>CUST0052</t>
  </si>
  <si>
    <t>Saanvi Anderson</t>
  </si>
  <si>
    <t>saanvi.anderson84@example.com</t>
  </si>
  <si>
    <t>+916636714151</t>
  </si>
  <si>
    <t>108 Garden Street</t>
  </si>
  <si>
    <t>CUST0053</t>
  </si>
  <si>
    <t>akash.white72@example.com</t>
  </si>
  <si>
    <t>+1-305-297-7475</t>
  </si>
  <si>
    <t>149 Main Street</t>
  </si>
  <si>
    <t>CUST0054</t>
  </si>
  <si>
    <t>Rohan</t>
  </si>
  <si>
    <t>Rohan Patel</t>
  </si>
  <si>
    <t>rohan.patel69@example.com</t>
  </si>
  <si>
    <t>+1-435-824-5249</t>
  </si>
  <si>
    <t>227 Station Road</t>
  </si>
  <si>
    <t>CUST0055</t>
  </si>
  <si>
    <t>Isabella Williams</t>
  </si>
  <si>
    <t>isabella.williams34@example.com</t>
  </si>
  <si>
    <t>+916777434588</t>
  </si>
  <si>
    <t>56 Park Avenue</t>
  </si>
  <si>
    <t>CUST0056</t>
  </si>
  <si>
    <t>Sophia Nair</t>
  </si>
  <si>
    <t>sophia.nair79@example.com</t>
  </si>
  <si>
    <t>+1-541-983-4174</t>
  </si>
  <si>
    <t>139 MG Road</t>
  </si>
  <si>
    <t>CUST0057</t>
  </si>
  <si>
    <t>Vihaan Nair</t>
  </si>
  <si>
    <t>vihaan.nair11@example.com</t>
  </si>
  <si>
    <t>+916831850739</t>
  </si>
  <si>
    <t>144 Main Street</t>
  </si>
  <si>
    <t>CUST0058</t>
  </si>
  <si>
    <t>Neha</t>
  </si>
  <si>
    <t>Neha Harris</t>
  </si>
  <si>
    <t>neha.harris69@example.com</t>
  </si>
  <si>
    <t>+919397020723</t>
  </si>
  <si>
    <t>172 High Street</t>
  </si>
  <si>
    <t>CUST0059</t>
  </si>
  <si>
    <t>ava.verma33@example.com</t>
  </si>
  <si>
    <t>+917343993607</t>
  </si>
  <si>
    <t>395 Station Road</t>
  </si>
  <si>
    <t>CUST0060</t>
  </si>
  <si>
    <t>Isabella Reddy</t>
  </si>
  <si>
    <t>isabella.reddy6@example.com</t>
  </si>
  <si>
    <t>+917606949641</t>
  </si>
  <si>
    <t>258 Park Avenue</t>
  </si>
  <si>
    <t>CUST0061</t>
  </si>
  <si>
    <t>vihaan.mehta21@example.com</t>
  </si>
  <si>
    <t>+918720189162</t>
  </si>
  <si>
    <t>272 Church Road</t>
  </si>
  <si>
    <t>CUST0062</t>
  </si>
  <si>
    <t>Ananya Harris</t>
  </si>
  <si>
    <t>ananya.harris95@example.com</t>
  </si>
  <si>
    <t>+918248399170</t>
  </si>
  <si>
    <t>285 High Street</t>
  </si>
  <si>
    <t>CUST0063</t>
  </si>
  <si>
    <t>Sneha</t>
  </si>
  <si>
    <t>Sneha Verma</t>
  </si>
  <si>
    <t>sneha.verma9@example.com</t>
  </si>
  <si>
    <t>+1-827-319-3556</t>
  </si>
  <si>
    <t>27 Church Road</t>
  </si>
  <si>
    <t>CUST0064</t>
  </si>
  <si>
    <t>Ishaan Singh</t>
  </si>
  <si>
    <t>ishaan.singh27@example.com</t>
  </si>
  <si>
    <t>+919496053898</t>
  </si>
  <si>
    <t>19 High Street</t>
  </si>
  <si>
    <t>CUST0065</t>
  </si>
  <si>
    <t>James Sharma</t>
  </si>
  <si>
    <t>james.sharma64@example.com</t>
  </si>
  <si>
    <t>+916471909581</t>
  </si>
  <si>
    <t>92 Sunset Boulevard</t>
  </si>
  <si>
    <t>Hyderabad</t>
  </si>
  <si>
    <t>CUST0066</t>
  </si>
  <si>
    <t>Rahul Gupta</t>
  </si>
  <si>
    <t>rahul.gupta42@example.com</t>
  </si>
  <si>
    <t>+1-822-606-7730</t>
  </si>
  <si>
    <t>288 Main Street</t>
  </si>
  <si>
    <t>CUST0067</t>
  </si>
  <si>
    <t>Karan Verma</t>
  </si>
  <si>
    <t>karan.verma64@example.com</t>
  </si>
  <si>
    <t>+1-373-981-9808</t>
  </si>
  <si>
    <t>13 Sunset Boulevard</t>
  </si>
  <si>
    <t>CUST0068</t>
  </si>
  <si>
    <t>saanvi.anderson43@example.com</t>
  </si>
  <si>
    <t>+1-820-330-8551</t>
  </si>
  <si>
    <t>376 School Lane</t>
  </si>
  <si>
    <t>Los Angeles</t>
  </si>
  <si>
    <t>CUST0069</t>
  </si>
  <si>
    <t>James Thomas</t>
  </si>
  <si>
    <t>james.thomas9@example.com</t>
  </si>
  <si>
    <t>+919938726245</t>
  </si>
  <si>
    <t>350 MG Road</t>
  </si>
  <si>
    <t>CUST0070</t>
  </si>
  <si>
    <t>Neha Khan</t>
  </si>
  <si>
    <t>neha.khan69@example.com</t>
  </si>
  <si>
    <t>+1-686-588-1840</t>
  </si>
  <si>
    <t>250 Sunset Boulevard</t>
  </si>
  <si>
    <t>CUST0071</t>
  </si>
  <si>
    <t>Arjun Smith</t>
  </si>
  <si>
    <t>arjun.smith23@example.com</t>
  </si>
  <si>
    <t>+919375841920</t>
  </si>
  <si>
    <t>229 School Lane</t>
  </si>
  <si>
    <t>CUST0072</t>
  </si>
  <si>
    <t>Rahul Sharma</t>
  </si>
  <si>
    <t>rahul.sharma58@example.com</t>
  </si>
  <si>
    <t>+1-681-453-6222</t>
  </si>
  <si>
    <t>287 Park Avenue</t>
  </si>
  <si>
    <t>CUST0073</t>
  </si>
  <si>
    <t>Rohan Reddy</t>
  </si>
  <si>
    <t>rohan.reddy63@example.com</t>
  </si>
  <si>
    <t>+919612253754</t>
  </si>
  <si>
    <t>116 Lakeview Drive</t>
  </si>
  <si>
    <t>CUST0074</t>
  </si>
  <si>
    <t>Vihaan Johnson</t>
  </si>
  <si>
    <t>vihaan.johnson17@example.com</t>
  </si>
  <si>
    <t>+919628299844</t>
  </si>
  <si>
    <t>118 High Street</t>
  </si>
  <si>
    <t>CUST0075</t>
  </si>
  <si>
    <t>Vivaan Khan</t>
  </si>
  <si>
    <t>vivaan.khan4@example.com</t>
  </si>
  <si>
    <t>+918509668988</t>
  </si>
  <si>
    <t>234 MG Road</t>
  </si>
  <si>
    <t>CUST0076</t>
  </si>
  <si>
    <t>Isabella Jackson</t>
  </si>
  <si>
    <t>isabella.jackson40@example.com</t>
  </si>
  <si>
    <t>+918169104538</t>
  </si>
  <si>
    <t>183 High Street</t>
  </si>
  <si>
    <t>CUST0077</t>
  </si>
  <si>
    <t>James Mehta</t>
  </si>
  <si>
    <t>james.mehta37@example.com</t>
  </si>
  <si>
    <t>+919786263534</t>
  </si>
  <si>
    <t>161 Lakeview Drive</t>
  </si>
  <si>
    <t>CUST0078</t>
  </si>
  <si>
    <t>James Nair</t>
  </si>
  <si>
    <t>james.nair39@example.com</t>
  </si>
  <si>
    <t>+917176288574</t>
  </si>
  <si>
    <t>85 School Lane</t>
  </si>
  <si>
    <t>CUST0079</t>
  </si>
  <si>
    <t>Ishaan White</t>
  </si>
  <si>
    <t>ishaan.white55@example.com</t>
  </si>
  <si>
    <t>+916505456230</t>
  </si>
  <si>
    <t>49 Church Road</t>
  </si>
  <si>
    <t>CUST0080</t>
  </si>
  <si>
    <t>Olivia</t>
  </si>
  <si>
    <t>Olivia Nair</t>
  </si>
  <si>
    <t>olivia.nair91@example.com</t>
  </si>
  <si>
    <t>+917277826126</t>
  </si>
  <si>
    <t>228 Sunset Boulevard</t>
  </si>
  <si>
    <t>CUST0081</t>
  </si>
  <si>
    <t>Vihaan Verma</t>
  </si>
  <si>
    <t>vihaan.verma18@example.com</t>
  </si>
  <si>
    <t>+917810978887</t>
  </si>
  <si>
    <t>80 Church Road</t>
  </si>
  <si>
    <t>CUST0082</t>
  </si>
  <si>
    <t>William Verma</t>
  </si>
  <si>
    <t>william.verma38@example.com</t>
  </si>
  <si>
    <t>+919491791309</t>
  </si>
  <si>
    <t>305 Lakeview Drive</t>
  </si>
  <si>
    <t>CUST0083</t>
  </si>
  <si>
    <t>Rohan Gupta</t>
  </si>
  <si>
    <t>rohan.gupta82@example.com</t>
  </si>
  <si>
    <t>+1-771-909-4082</t>
  </si>
  <si>
    <t>169 Park Avenue</t>
  </si>
  <si>
    <t>CUST0084</t>
  </si>
  <si>
    <t>Aarav Khan</t>
  </si>
  <si>
    <t>aarav.khan21@example.com</t>
  </si>
  <si>
    <t>+918967464466</t>
  </si>
  <si>
    <t>265 Main Street</t>
  </si>
  <si>
    <t>CUST0085</t>
  </si>
  <si>
    <t>Sara Thomas</t>
  </si>
  <si>
    <t>sara.thomas72@example.com</t>
  </si>
  <si>
    <t>+919822312457</t>
  </si>
  <si>
    <t>123 School Lane</t>
  </si>
  <si>
    <t>CUST0086</t>
  </si>
  <si>
    <t>Isabella White</t>
  </si>
  <si>
    <t>isabella.white1@example.com</t>
  </si>
  <si>
    <t>+919799113518</t>
  </si>
  <si>
    <t>8 MG Road</t>
  </si>
  <si>
    <t>CUST0087</t>
  </si>
  <si>
    <t>Liam Thomas</t>
  </si>
  <si>
    <t>liam.thomas1@example.com</t>
  </si>
  <si>
    <t>+919767687902</t>
  </si>
  <si>
    <t>CUST0088</t>
  </si>
  <si>
    <t>Ritu Khan</t>
  </si>
  <si>
    <t>ritu.khan71@example.com</t>
  </si>
  <si>
    <t>+917564081702</t>
  </si>
  <si>
    <t>43 Church Road</t>
  </si>
  <si>
    <t>CUST0089</t>
  </si>
  <si>
    <t>Akash Reddy</t>
  </si>
  <si>
    <t>akash.reddy98@example.com</t>
  </si>
  <si>
    <t>+916745493709</t>
  </si>
  <si>
    <t>159 Lakeview Drive</t>
  </si>
  <si>
    <t>CUST0090</t>
  </si>
  <si>
    <t>Iyer</t>
  </si>
  <si>
    <t>Liam Iyer</t>
  </si>
  <si>
    <t>liam.iyer56@example.com</t>
  </si>
  <si>
    <t>+916796305922</t>
  </si>
  <si>
    <t>84 Main Street</t>
  </si>
  <si>
    <t>Surat</t>
  </si>
  <si>
    <t>CUST0091</t>
  </si>
  <si>
    <t>Liam Harris</t>
  </si>
  <si>
    <t>liam.harris33@example.com</t>
  </si>
  <si>
    <t>+1-841-930-8114</t>
  </si>
  <si>
    <t>CUST0092</t>
  </si>
  <si>
    <t>Emma Anderson</t>
  </si>
  <si>
    <t>emma.anderson80@example.com</t>
  </si>
  <si>
    <t>+919459981293</t>
  </si>
  <si>
    <t>354 Main Street</t>
  </si>
  <si>
    <t>CUST0093</t>
  </si>
  <si>
    <t>Rohan Sharma</t>
  </si>
  <si>
    <t>rohan.sharma82@example.com</t>
  </si>
  <si>
    <t>+1-540-825-4531</t>
  </si>
  <si>
    <t>60 High Street</t>
  </si>
  <si>
    <t>CUST0094</t>
  </si>
  <si>
    <t>Emma Gupta</t>
  </si>
  <si>
    <t>emma.gupta78@example.com</t>
  </si>
  <si>
    <t>+919556937022</t>
  </si>
  <si>
    <t>322 High Street</t>
  </si>
  <si>
    <t>CUST0095</t>
  </si>
  <si>
    <t>Emma Singh</t>
  </si>
  <si>
    <t>emma.singh89@example.com</t>
  </si>
  <si>
    <t>+1-717-902-2544</t>
  </si>
  <si>
    <t>132 MG Road</t>
  </si>
  <si>
    <t>CUST0096</t>
  </si>
  <si>
    <t>Ava Anderson</t>
  </si>
  <si>
    <t>ava.anderson69@example.com</t>
  </si>
  <si>
    <t>+919860464514</t>
  </si>
  <si>
    <t>224 Park Avenue</t>
  </si>
  <si>
    <t>CUST0097</t>
  </si>
  <si>
    <t>Isabella Nair</t>
  </si>
  <si>
    <t>isabella.nair60@example.com</t>
  </si>
  <si>
    <t>+1-665-581-8808</t>
  </si>
  <si>
    <t>52 Church Road</t>
  </si>
  <si>
    <t>CUST0098</t>
  </si>
  <si>
    <t>Ananya Smith</t>
  </si>
  <si>
    <t>ananya.smith16@example.com</t>
  </si>
  <si>
    <t>+919392514158</t>
  </si>
  <si>
    <t>100 Sunset Boulevard</t>
  </si>
  <si>
    <t>CUST0099</t>
  </si>
  <si>
    <t>Olivia Jackson</t>
  </si>
  <si>
    <t>olivia.jackson89@example.com</t>
  </si>
  <si>
    <t>+916637745361</t>
  </si>
  <si>
    <t>255 Garden Street</t>
  </si>
  <si>
    <t>CUST0100</t>
  </si>
  <si>
    <t>Taylor</t>
  </si>
  <si>
    <t>Rahul Taylor</t>
  </si>
  <si>
    <t>rahul.taylor65@example.com</t>
  </si>
  <si>
    <t>+917598020267</t>
  </si>
  <si>
    <t>343 Park Avenue</t>
  </si>
  <si>
    <t>CUST0101</t>
  </si>
  <si>
    <t>william.verma91@example.com</t>
  </si>
  <si>
    <t>+1-440-408-1133</t>
  </si>
  <si>
    <t>391 Park Avenue</t>
  </si>
  <si>
    <t>CUST0102</t>
  </si>
  <si>
    <t>Emma Johnson</t>
  </si>
  <si>
    <t>emma.johnson29@example.com</t>
  </si>
  <si>
    <t>+919109296425</t>
  </si>
  <si>
    <t>129 High Street</t>
  </si>
  <si>
    <t>CUST0103</t>
  </si>
  <si>
    <t>Olivia Verma</t>
  </si>
  <si>
    <t>olivia.verma46@example.com</t>
  </si>
  <si>
    <t>+1-892-388-2467</t>
  </si>
  <si>
    <t>274 MG Road</t>
  </si>
  <si>
    <t>CUST0104</t>
  </si>
  <si>
    <t>Neha Sharma</t>
  </si>
  <si>
    <t>neha.sharma39@example.com</t>
  </si>
  <si>
    <t>+1-272-353-2309</t>
  </si>
  <si>
    <t>55 Lakeview Drive</t>
  </si>
  <si>
    <t>CUST0105</t>
  </si>
  <si>
    <t>Karan Taylor</t>
  </si>
  <si>
    <t>karan.taylor1@example.com</t>
  </si>
  <si>
    <t>+1-585-962-1962</t>
  </si>
  <si>
    <t>157 Sunset Boulevard</t>
  </si>
  <si>
    <t>CUST0106</t>
  </si>
  <si>
    <t>Emma Taylor</t>
  </si>
  <si>
    <t>emma.taylor8@example.com</t>
  </si>
  <si>
    <t>+1-572-987-2677</t>
  </si>
  <si>
    <t>375 Main Street</t>
  </si>
  <si>
    <t>CUST0107</t>
  </si>
  <si>
    <t>Karan Iyer</t>
  </si>
  <si>
    <t>karan.iyer3@example.com</t>
  </si>
  <si>
    <t>+918047264619</t>
  </si>
  <si>
    <t>213 Sunset Boulevard</t>
  </si>
  <si>
    <t>CUST0108</t>
  </si>
  <si>
    <t>Sneha Thomas</t>
  </si>
  <si>
    <t>sneha.thomas52@example.com</t>
  </si>
  <si>
    <t>+916297886762</t>
  </si>
  <si>
    <t>220 Sunset Boulevard</t>
  </si>
  <si>
    <t>CUST0109</t>
  </si>
  <si>
    <t>Isabella Taylor</t>
  </si>
  <si>
    <t>isabella.taylor97@example.com</t>
  </si>
  <si>
    <t>+917710355975</t>
  </si>
  <si>
    <t>344 Station Road</t>
  </si>
  <si>
    <t>CUST0110</t>
  </si>
  <si>
    <t>Noah Taylor</t>
  </si>
  <si>
    <t>noah.taylor55@example.com</t>
  </si>
  <si>
    <t>+917163100505</t>
  </si>
  <si>
    <t>CUST0111</t>
  </si>
  <si>
    <t>Aarav Anderson</t>
  </si>
  <si>
    <t>aarav.anderson99@example.com</t>
  </si>
  <si>
    <t>+917036049324</t>
  </si>
  <si>
    <t>273 Park Avenue</t>
  </si>
  <si>
    <t>CUST0112</t>
  </si>
  <si>
    <t>isabella.white99@example.com</t>
  </si>
  <si>
    <t>+917998072920</t>
  </si>
  <si>
    <t>199 Garden Street</t>
  </si>
  <si>
    <t>CUST0113</t>
  </si>
  <si>
    <t>Ava Jackson</t>
  </si>
  <si>
    <t>ava.jackson2@example.com</t>
  </si>
  <si>
    <t>+917794244559</t>
  </si>
  <si>
    <t>174 High Street</t>
  </si>
  <si>
    <t>CUST0114</t>
  </si>
  <si>
    <t>olivia.verma11@example.com</t>
  </si>
  <si>
    <t>+918631729149</t>
  </si>
  <si>
    <t>176 School Lane</t>
  </si>
  <si>
    <t>CUST0115</t>
  </si>
  <si>
    <t>rahul.singh79@example.com</t>
  </si>
  <si>
    <t>+916017308725</t>
  </si>
  <si>
    <t>17 School Lane</t>
  </si>
  <si>
    <t>CUST0116</t>
  </si>
  <si>
    <t>diya.johnson89@example.com</t>
  </si>
  <si>
    <t>+1-635-755-6870</t>
  </si>
  <si>
    <t>235 Station Road</t>
  </si>
  <si>
    <t>CUST0117</t>
  </si>
  <si>
    <t>Ananya Taylor</t>
  </si>
  <si>
    <t>ananya.taylor14@example.com</t>
  </si>
  <si>
    <t>+919555412612</t>
  </si>
  <si>
    <t>347 Garden Street</t>
  </si>
  <si>
    <t>CUST0118</t>
  </si>
  <si>
    <t>Rohan Iyer</t>
  </si>
  <si>
    <t>rohan.iyer49@example.com</t>
  </si>
  <si>
    <t>+1-974-550-9945</t>
  </si>
  <si>
    <t>85 Sunset Boulevard</t>
  </si>
  <si>
    <t>CUST0119</t>
  </si>
  <si>
    <t>Sneha Taylor</t>
  </si>
  <si>
    <t>sneha.taylor7@example.com</t>
  </si>
  <si>
    <t>+919776841325</t>
  </si>
  <si>
    <t>238 Main Street</t>
  </si>
  <si>
    <t>CUST0120</t>
  </si>
  <si>
    <t>Sophia Taylor</t>
  </si>
  <si>
    <t>sophia.taylor93@example.com</t>
  </si>
  <si>
    <t>+1-824-240-9387</t>
  </si>
  <si>
    <t>37 Sunset Boulevard</t>
  </si>
  <si>
    <t>CUST0121</t>
  </si>
  <si>
    <t>Mason Williams</t>
  </si>
  <si>
    <t>mason.williams99@example.com</t>
  </si>
  <si>
    <t>+916214274824</t>
  </si>
  <si>
    <t>6 Main Street</t>
  </si>
  <si>
    <t>CUST0122</t>
  </si>
  <si>
    <t>rohan.iyer20@example.com</t>
  </si>
  <si>
    <t>+1-975-684-5619</t>
  </si>
  <si>
    <t>289 Garden Street</t>
  </si>
  <si>
    <t>CUST0123</t>
  </si>
  <si>
    <t>Ritu White</t>
  </si>
  <si>
    <t>ritu.white35@example.com</t>
  </si>
  <si>
    <t>+918786218383</t>
  </si>
  <si>
    <t>130 Sunset Boulevard</t>
  </si>
  <si>
    <t>CUST0124</t>
  </si>
  <si>
    <t>Saanvi Jackson</t>
  </si>
  <si>
    <t>saanvi.jackson83@example.com</t>
  </si>
  <si>
    <t>+917532983364</t>
  </si>
  <si>
    <t>338 School Lane</t>
  </si>
  <si>
    <t>CUST0125</t>
  </si>
  <si>
    <t>isabella.white7@example.com</t>
  </si>
  <si>
    <t>+1-398-843-5037</t>
  </si>
  <si>
    <t>263 School Lane</t>
  </si>
  <si>
    <t>CUST0126</t>
  </si>
  <si>
    <t>Vivaan Reddy</t>
  </si>
  <si>
    <t>vivaan.reddy5@example.com</t>
  </si>
  <si>
    <t>+917850410161</t>
  </si>
  <si>
    <t>19 Lakeview Drive</t>
  </si>
  <si>
    <t>CUST0127</t>
  </si>
  <si>
    <t>aarav.khan10@example.com</t>
  </si>
  <si>
    <t>+917915622037</t>
  </si>
  <si>
    <t>272 School Lane</t>
  </si>
  <si>
    <t>CUST0128</t>
  </si>
  <si>
    <t>William Anderson</t>
  </si>
  <si>
    <t>william.anderson60@example.com</t>
  </si>
  <si>
    <t>+919783334299</t>
  </si>
  <si>
    <t>332 Station Road</t>
  </si>
  <si>
    <t>CUST0129</t>
  </si>
  <si>
    <t>sophia.smith72@example.com</t>
  </si>
  <si>
    <t>+916873404345</t>
  </si>
  <si>
    <t>348 Station Road</t>
  </si>
  <si>
    <t>CUST0130</t>
  </si>
  <si>
    <t>Priya White</t>
  </si>
  <si>
    <t>priya.white3@example.com</t>
  </si>
  <si>
    <t>+1-508-532-3976</t>
  </si>
  <si>
    <t>306 Station Road</t>
  </si>
  <si>
    <t>CUST0131</t>
  </si>
  <si>
    <t>Priya Gupta</t>
  </si>
  <si>
    <t>priya.gupta21@example.com</t>
  </si>
  <si>
    <t>+1-669-494-4569</t>
  </si>
  <si>
    <t>378 Garden Street</t>
  </si>
  <si>
    <t>CUST0132</t>
  </si>
  <si>
    <t>saanvi.singh24@example.com</t>
  </si>
  <si>
    <t>+1-680-838-8323</t>
  </si>
  <si>
    <t>144 MG Road</t>
  </si>
  <si>
    <t>CUST0133</t>
  </si>
  <si>
    <t>Liam Gupta</t>
  </si>
  <si>
    <t>liam.gupta99@example.com</t>
  </si>
  <si>
    <t>+1-210-652-9338</t>
  </si>
  <si>
    <t>106 School Lane</t>
  </si>
  <si>
    <t>CUST0134</t>
  </si>
  <si>
    <t>karan.verma37@example.com</t>
  </si>
  <si>
    <t>+917837828029</t>
  </si>
  <si>
    <t>284 Main Street</t>
  </si>
  <si>
    <t>CUST0135</t>
  </si>
  <si>
    <t>Karan Nair</t>
  </si>
  <si>
    <t>karan.nair65@example.com</t>
  </si>
  <si>
    <t>+1-278-541-3378</t>
  </si>
  <si>
    <t>75 High Street</t>
  </si>
  <si>
    <t>CUST0136</t>
  </si>
  <si>
    <t>Rahul Patel</t>
  </si>
  <si>
    <t>rahul.patel11@example.com</t>
  </si>
  <si>
    <t>+916674029723</t>
  </si>
  <si>
    <t>147 Garden Street</t>
  </si>
  <si>
    <t>CUST0137</t>
  </si>
  <si>
    <t>Arjun Brown</t>
  </si>
  <si>
    <t>arjun.brown84@example.com</t>
  </si>
  <si>
    <t>+918690009009</t>
  </si>
  <si>
    <t>189 High Street</t>
  </si>
  <si>
    <t>CUST0138</t>
  </si>
  <si>
    <t>Noah Khan</t>
  </si>
  <si>
    <t>noah.khan76@example.com</t>
  </si>
  <si>
    <t>+916163491286</t>
  </si>
  <si>
    <t>316 Park Avenue</t>
  </si>
  <si>
    <t>CUST0139</t>
  </si>
  <si>
    <t>James Anderson</t>
  </si>
  <si>
    <t>james.anderson92@example.com</t>
  </si>
  <si>
    <t>+919003924270</t>
  </si>
  <si>
    <t>223 Garden Street</t>
  </si>
  <si>
    <t>CUST0140</t>
  </si>
  <si>
    <t>Vikram Iyer</t>
  </si>
  <si>
    <t>vikram.iyer33@example.com</t>
  </si>
  <si>
    <t>+918854810178</t>
  </si>
  <si>
    <t>354 Sunset Boulevard</t>
  </si>
  <si>
    <t>CUST0141</t>
  </si>
  <si>
    <t>Liam Williams</t>
  </si>
  <si>
    <t>liam.williams79@example.com</t>
  </si>
  <si>
    <t>+1-883-365-4349</t>
  </si>
  <si>
    <t>70 Station Road</t>
  </si>
  <si>
    <t>CUST0142</t>
  </si>
  <si>
    <t>Saanvi Iyer</t>
  </si>
  <si>
    <t>saanvi.iyer40@example.com</t>
  </si>
  <si>
    <t>+917480591311</t>
  </si>
  <si>
    <t>314 Garden Street</t>
  </si>
  <si>
    <t>CUST0143</t>
  </si>
  <si>
    <t>vihaan.mehta41@example.com</t>
  </si>
  <si>
    <t>+1-532-506-8412</t>
  </si>
  <si>
    <t>215 Garden Street</t>
  </si>
  <si>
    <t>CUST0144</t>
  </si>
  <si>
    <t>Diya Gupta</t>
  </si>
  <si>
    <t>diya.gupta32@example.com</t>
  </si>
  <si>
    <t>+918051843961</t>
  </si>
  <si>
    <t>360 Station Road</t>
  </si>
  <si>
    <t>CUST0145</t>
  </si>
  <si>
    <t>Neha Patel</t>
  </si>
  <si>
    <t>neha.patel69@example.com</t>
  </si>
  <si>
    <t>+919835004179</t>
  </si>
  <si>
    <t>243 MG Road</t>
  </si>
  <si>
    <t>CUST0146</t>
  </si>
  <si>
    <t>Akash Khan</t>
  </si>
  <si>
    <t>akash.khan56@example.com</t>
  </si>
  <si>
    <t>+1-619-812-3526</t>
  </si>
  <si>
    <t>261 Park Avenue</t>
  </si>
  <si>
    <t>CUST0147</t>
  </si>
  <si>
    <t>Rahul Jackson</t>
  </si>
  <si>
    <t>rahul.jackson36@example.com</t>
  </si>
  <si>
    <t>+1-546-777-2960</t>
  </si>
  <si>
    <t>395 MG Road</t>
  </si>
  <si>
    <t>CUST0148</t>
  </si>
  <si>
    <t>karan.williams95@example.com</t>
  </si>
  <si>
    <t>+1-974-735-3276</t>
  </si>
  <si>
    <t>CUST0149</t>
  </si>
  <si>
    <t>Rahul White</t>
  </si>
  <si>
    <t>rahul.white59@example.com</t>
  </si>
  <si>
    <t>+916005120928</t>
  </si>
  <si>
    <t>175 Church Road</t>
  </si>
  <si>
    <t>CUST0150</t>
  </si>
  <si>
    <t>Sara Johnson</t>
  </si>
  <si>
    <t>sara.johnson89@example.com</t>
  </si>
  <si>
    <t>+918023765526</t>
  </si>
  <si>
    <t>19 Main Street</t>
  </si>
  <si>
    <t>CUST0151</t>
  </si>
  <si>
    <t>william.nair99@example.com</t>
  </si>
  <si>
    <t>+1-483-456-1206</t>
  </si>
  <si>
    <t>348 Sunset Boulevard</t>
  </si>
  <si>
    <t>CUST0152</t>
  </si>
  <si>
    <t>Noah Mehta</t>
  </si>
  <si>
    <t>noah.mehta55@example.com</t>
  </si>
  <si>
    <t>+919983182850</t>
  </si>
  <si>
    <t>279 Church Road</t>
  </si>
  <si>
    <t>CUST0153</t>
  </si>
  <si>
    <t>vivaan.reddy71@example.com</t>
  </si>
  <si>
    <t>+919174144720</t>
  </si>
  <si>
    <t>173 High Street</t>
  </si>
  <si>
    <t>CUST0154</t>
  </si>
  <si>
    <t>Karan Patel</t>
  </si>
  <si>
    <t>karan.patel53@example.com</t>
  </si>
  <si>
    <t>+916555928691</t>
  </si>
  <si>
    <t>70 Sunset Boulevard</t>
  </si>
  <si>
    <t>CUST0155</t>
  </si>
  <si>
    <t>Olivia Taylor</t>
  </si>
  <si>
    <t>olivia.taylor51@example.com</t>
  </si>
  <si>
    <t>+919477243717</t>
  </si>
  <si>
    <t>CUST0156</t>
  </si>
  <si>
    <t>James Patel</t>
  </si>
  <si>
    <t>james.patel73@example.com</t>
  </si>
  <si>
    <t>+1-414-372-5604</t>
  </si>
  <si>
    <t>161 Church Road</t>
  </si>
  <si>
    <t>CUST0157</t>
  </si>
  <si>
    <t>Sara Verma</t>
  </si>
  <si>
    <t>sara.verma16@example.com</t>
  </si>
  <si>
    <t>+1-528-794-2917</t>
  </si>
  <si>
    <t>57 MG Road</t>
  </si>
  <si>
    <t>CUST0158</t>
  </si>
  <si>
    <t>karan.singh8@example.com</t>
  </si>
  <si>
    <t>+917148671547</t>
  </si>
  <si>
    <t>282 School Lane</t>
  </si>
  <si>
    <t>CUST0159</t>
  </si>
  <si>
    <t>Sneha Gupta</t>
  </si>
  <si>
    <t>sneha.gupta85@example.com</t>
  </si>
  <si>
    <t>+1-772-299-9500</t>
  </si>
  <si>
    <t>CUST0160</t>
  </si>
  <si>
    <t>Ritu Jackson</t>
  </si>
  <si>
    <t>ritu.jackson58@example.com</t>
  </si>
  <si>
    <t>+1-929-396-9242</t>
  </si>
  <si>
    <t>326 High Street</t>
  </si>
  <si>
    <t>CUST0161</t>
  </si>
  <si>
    <t>olivia.verma44@example.com</t>
  </si>
  <si>
    <t>+917562110505</t>
  </si>
  <si>
    <t>254 Park Avenue</t>
  </si>
  <si>
    <t>CUST0162</t>
  </si>
  <si>
    <t>Priya Jackson</t>
  </si>
  <si>
    <t>priya.jackson97@example.com</t>
  </si>
  <si>
    <t>+1-288-569-6951</t>
  </si>
  <si>
    <t>381 Sunset Boulevard</t>
  </si>
  <si>
    <t>CUST0163</t>
  </si>
  <si>
    <t>Vivaan Jackson</t>
  </si>
  <si>
    <t>vivaan.jackson50@example.com</t>
  </si>
  <si>
    <t>+1-912-895-7553</t>
  </si>
  <si>
    <t>357 Main Street</t>
  </si>
  <si>
    <t>CUST0164</t>
  </si>
  <si>
    <t>Diya Singh</t>
  </si>
  <si>
    <t>diya.singh18@example.com</t>
  </si>
  <si>
    <t>+1-864-716-3896</t>
  </si>
  <si>
    <t>107 High Street</t>
  </si>
  <si>
    <t>CUST0165</t>
  </si>
  <si>
    <t>james.patel14@example.com</t>
  </si>
  <si>
    <t>+918847240685</t>
  </si>
  <si>
    <t>115 Park Avenue</t>
  </si>
  <si>
    <t>CUST0166</t>
  </si>
  <si>
    <t>Ava White</t>
  </si>
  <si>
    <t>ava.white57@example.com</t>
  </si>
  <si>
    <t>+1-803-317-7661</t>
  </si>
  <si>
    <t>8 High Street</t>
  </si>
  <si>
    <t>CUST0167</t>
  </si>
  <si>
    <t>Isabella Thomas</t>
  </si>
  <si>
    <t>isabella.thomas97@example.com</t>
  </si>
  <si>
    <t>+918279037527</t>
  </si>
  <si>
    <t>230 MG Road</t>
  </si>
  <si>
    <t>CUST0168</t>
  </si>
  <si>
    <t>Saanvi Thomas</t>
  </si>
  <si>
    <t>saanvi.thomas17@example.com</t>
  </si>
  <si>
    <t>+919378475612</t>
  </si>
  <si>
    <t>160 Lakeview Drive</t>
  </si>
  <si>
    <t>CUST0169</t>
  </si>
  <si>
    <t>Diya Khan</t>
  </si>
  <si>
    <t>diya.khan8@example.com</t>
  </si>
  <si>
    <t>+1-906-394-9207</t>
  </si>
  <si>
    <t>289 School Lane</t>
  </si>
  <si>
    <t>CUST0170</t>
  </si>
  <si>
    <t>sara.verma57@example.com</t>
  </si>
  <si>
    <t>+1-808-969-7206</t>
  </si>
  <si>
    <t>268 Station Road</t>
  </si>
  <si>
    <t>CUST0171</t>
  </si>
  <si>
    <t>Mason Patel</t>
  </si>
  <si>
    <t>mason.patel79@example.com</t>
  </si>
  <si>
    <t>+917286084223</t>
  </si>
  <si>
    <t>66 Sunset Boulevard</t>
  </si>
  <si>
    <t>CUST0172</t>
  </si>
  <si>
    <t>Ananya White</t>
  </si>
  <si>
    <t>ananya.white98@example.com</t>
  </si>
  <si>
    <t>+917897300781</t>
  </si>
  <si>
    <t>9 Main Street</t>
  </si>
  <si>
    <t>CUST0173</t>
  </si>
  <si>
    <t>William Harris</t>
  </si>
  <si>
    <t>william.harris68@example.com</t>
  </si>
  <si>
    <t>+919996096495</t>
  </si>
  <si>
    <t>262 Garden Street</t>
  </si>
  <si>
    <t>CUST0174</t>
  </si>
  <si>
    <t>sneha.thomas56@example.com</t>
  </si>
  <si>
    <t>+918678512987</t>
  </si>
  <si>
    <t>180 Lakeview Drive</t>
  </si>
  <si>
    <t>CUST0175</t>
  </si>
  <si>
    <t>Ananya Brown</t>
  </si>
  <si>
    <t>ananya.brown54@example.com</t>
  </si>
  <si>
    <t>+917486842141</t>
  </si>
  <si>
    <t>377 Lakeview Drive</t>
  </si>
  <si>
    <t>CUST0176</t>
  </si>
  <si>
    <t>Emma Mehta</t>
  </si>
  <si>
    <t>emma.mehta15@example.com</t>
  </si>
  <si>
    <t>+1-395-283-7314</t>
  </si>
  <si>
    <t>289 Lakeview Drive</t>
  </si>
  <si>
    <t>CUST0177</t>
  </si>
  <si>
    <t>Akash Patel</t>
  </si>
  <si>
    <t>akash.patel25@example.com</t>
  </si>
  <si>
    <t>+917716072272</t>
  </si>
  <si>
    <t>301 Station Road</t>
  </si>
  <si>
    <t>CUST0178</t>
  </si>
  <si>
    <t>Vikram Thomas</t>
  </si>
  <si>
    <t>vikram.thomas90@example.com</t>
  </si>
  <si>
    <t>+1-616-498-8210</t>
  </si>
  <si>
    <t>315 Sunset Boulevard</t>
  </si>
  <si>
    <t>CUST0179</t>
  </si>
  <si>
    <t>Arjun Patel</t>
  </si>
  <si>
    <t>arjun.patel90@example.com</t>
  </si>
  <si>
    <t>+919349042291</t>
  </si>
  <si>
    <t>227 MG Road</t>
  </si>
  <si>
    <t>CUST0180</t>
  </si>
  <si>
    <t>Ava Khan</t>
  </si>
  <si>
    <t>ava.khan82@example.com</t>
  </si>
  <si>
    <t>+919675790190</t>
  </si>
  <si>
    <t>60 Sunset Boulevard</t>
  </si>
  <si>
    <t>CUST0181</t>
  </si>
  <si>
    <t>Saanvi Gupta</t>
  </si>
  <si>
    <t>saanvi.gupta52@example.com</t>
  </si>
  <si>
    <t>+916214347173</t>
  </si>
  <si>
    <t>8 Church Road</t>
  </si>
  <si>
    <t>CUST0182</t>
  </si>
  <si>
    <t>Aisha Mehta</t>
  </si>
  <si>
    <t>aisha.mehta36@example.com</t>
  </si>
  <si>
    <t>+1-509-963-6884</t>
  </si>
  <si>
    <t>270 Park Avenue</t>
  </si>
  <si>
    <t>CUST0183</t>
  </si>
  <si>
    <t>sneha.gupta62@example.com</t>
  </si>
  <si>
    <t>+919693382415</t>
  </si>
  <si>
    <t>160 Park Avenue</t>
  </si>
  <si>
    <t>CUST0184</t>
  </si>
  <si>
    <t>ananya.harris99@example.com</t>
  </si>
  <si>
    <t>+916902583335</t>
  </si>
  <si>
    <t>361 MG Road</t>
  </si>
  <si>
    <t>CUST0185</t>
  </si>
  <si>
    <t>Vivaan Gupta</t>
  </si>
  <si>
    <t>vivaan.gupta6@example.com</t>
  </si>
  <si>
    <t>+1-217-590-9101</t>
  </si>
  <si>
    <t>134 High Street</t>
  </si>
  <si>
    <t>CUST0186</t>
  </si>
  <si>
    <t>olivia.verma59@example.com</t>
  </si>
  <si>
    <t>+918004573954</t>
  </si>
  <si>
    <t>239 Park Avenue</t>
  </si>
  <si>
    <t>CUST0187</t>
  </si>
  <si>
    <t>james.white41@example.com</t>
  </si>
  <si>
    <t>+1-799-460-8089</t>
  </si>
  <si>
    <t>214 Sunset Boulevard</t>
  </si>
  <si>
    <t>CUST0188</t>
  </si>
  <si>
    <t>rahul.patel89@example.com</t>
  </si>
  <si>
    <t>+919388084539</t>
  </si>
  <si>
    <t>144 Sunset Boulevard</t>
  </si>
  <si>
    <t>CUST0189</t>
  </si>
  <si>
    <t>ananya.jackson51@example.com</t>
  </si>
  <si>
    <t>+918548251562</t>
  </si>
  <si>
    <t>9 School Lane</t>
  </si>
  <si>
    <t>CUST0190</t>
  </si>
  <si>
    <t>Liam Singh</t>
  </si>
  <si>
    <t>liam.singh41@example.com</t>
  </si>
  <si>
    <t>+1-837-759-7281</t>
  </si>
  <si>
    <t>285 Church Road</t>
  </si>
  <si>
    <t>CUST0191</t>
  </si>
  <si>
    <t>vihaan.johnson12@example.com</t>
  </si>
  <si>
    <t>+917794603688</t>
  </si>
  <si>
    <t>207 Sunset Boulevard</t>
  </si>
  <si>
    <t>CUST0192</t>
  </si>
  <si>
    <t>Noah Sharma</t>
  </si>
  <si>
    <t>noah.sharma53@example.com</t>
  </si>
  <si>
    <t>+1-359-350-5408</t>
  </si>
  <si>
    <t>299 Sunset Boulevard</t>
  </si>
  <si>
    <t>CUST0193</t>
  </si>
  <si>
    <t>Liam Nair</t>
  </si>
  <si>
    <t>liam.nair92@example.com</t>
  </si>
  <si>
    <t>+917668376760</t>
  </si>
  <si>
    <t>180 School Lane</t>
  </si>
  <si>
    <t>CUST0194</t>
  </si>
  <si>
    <t>Liam Khan</t>
  </si>
  <si>
    <t>liam.khan56@example.com</t>
  </si>
  <si>
    <t>+917197276167</t>
  </si>
  <si>
    <t>207 School Lane</t>
  </si>
  <si>
    <t>CUST0195</t>
  </si>
  <si>
    <t>Vikram Smith</t>
  </si>
  <si>
    <t>vikram.smith70@example.com</t>
  </si>
  <si>
    <t>+917641441893</t>
  </si>
  <si>
    <t>280 Church Road</t>
  </si>
  <si>
    <t>CUST0196</t>
  </si>
  <si>
    <t>Emma Brown</t>
  </si>
  <si>
    <t>emma.brown76@example.com</t>
  </si>
  <si>
    <t>+917261599976</t>
  </si>
  <si>
    <t>25 Lakeview Drive</t>
  </si>
  <si>
    <t>CUST0197</t>
  </si>
  <si>
    <t>Ritu Reddy</t>
  </si>
  <si>
    <t>ritu.reddy25@example.com</t>
  </si>
  <si>
    <t>+916760558921</t>
  </si>
  <si>
    <t>344 Park Avenue</t>
  </si>
  <si>
    <t>CUST0198</t>
  </si>
  <si>
    <t>james.mehta67@example.com</t>
  </si>
  <si>
    <t>+916557492253</t>
  </si>
  <si>
    <t>231 Church Road</t>
  </si>
  <si>
    <t>CUST0199</t>
  </si>
  <si>
    <t>Sara Williams</t>
  </si>
  <si>
    <t>sara.williams99@example.com</t>
  </si>
  <si>
    <t>+918537134239</t>
  </si>
  <si>
    <t>326 School Lane</t>
  </si>
  <si>
    <t>CUST0200</t>
  </si>
  <si>
    <t>Noah Reddy</t>
  </si>
  <si>
    <t>noah.reddy17@example.com</t>
  </si>
  <si>
    <t>+1-263-905-4744</t>
  </si>
  <si>
    <t>397 School Lane</t>
  </si>
  <si>
    <t>OrderID</t>
  </si>
  <si>
    <t>Product</t>
  </si>
  <si>
    <t>Quantity</t>
  </si>
  <si>
    <t>Price</t>
  </si>
  <si>
    <t>TotalAmount</t>
  </si>
  <si>
    <t>OrderDate</t>
  </si>
  <si>
    <t>Status</t>
  </si>
  <si>
    <t>PaymentMethod</t>
  </si>
  <si>
    <t>ORD00001</t>
  </si>
  <si>
    <t>Headphones</t>
  </si>
  <si>
    <t>Cancelled</t>
  </si>
  <si>
    <t>Net Banking</t>
  </si>
  <si>
    <t>ORD00002</t>
  </si>
  <si>
    <t>T-Shirt</t>
  </si>
  <si>
    <t>Pending</t>
  </si>
  <si>
    <t>ORD00003</t>
  </si>
  <si>
    <t>UPI</t>
  </si>
  <si>
    <t>ORD00004</t>
  </si>
  <si>
    <t>Book</t>
  </si>
  <si>
    <t>Cash on Delivery</t>
  </si>
  <si>
    <t>ORD00005</t>
  </si>
  <si>
    <t>Credit Card</t>
  </si>
  <si>
    <t>ORD00006</t>
  </si>
  <si>
    <t>ORD00007</t>
  </si>
  <si>
    <t>Shipped</t>
  </si>
  <si>
    <t>ORD00008</t>
  </si>
  <si>
    <t>Delivered</t>
  </si>
  <si>
    <t>ORD00009</t>
  </si>
  <si>
    <t>Laptop</t>
  </si>
  <si>
    <t>ORD00010</t>
  </si>
  <si>
    <t>Debit Card</t>
  </si>
  <si>
    <t>ORD00011</t>
  </si>
  <si>
    <t>Returned</t>
  </si>
  <si>
    <t>ORD00012</t>
  </si>
  <si>
    <t>Bag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</si>
  <si>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</si>
  <si>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</si>
  <si>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</si>
  <si>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</si>
  <si>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</si>
  <si>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</si>
  <si>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</si>
  <si>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</si>
  <si>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Keyboard</t>
  </si>
  <si>
    <t>ORD00021</t>
  </si>
  <si>
    <t>ORD00022</t>
  </si>
  <si>
    <t>Monitor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</si>
  <si>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</si>
  <si>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</si>
  <si>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</si>
  <si>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</si>
  <si>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</si>
  <si>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</si>
  <si>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</si>
  <si>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</si>
  <si>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</si>
  <si>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</si>
  <si>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</si>
  <si>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</si>
  <si>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</si>
  <si>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</si>
  <si>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</si>
  <si>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</si>
  <si>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</si>
  <si>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</si>
  <si>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</si>
  <si>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Watch</t>
  </si>
  <si>
    <t>ORD00042</t>
  </si>
  <si>
    <t>ORD00043</t>
  </si>
  <si>
    <t>ORD00044</t>
  </si>
  <si>
    <t>ORD00045</t>
  </si>
  <si>
    <t>ORD00046</t>
  </si>
  <si>
    <t>Shoes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</si>
  <si>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</si>
  <si>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</si>
  <si>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</si>
  <si>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</si>
  <si>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</si>
  <si>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</si>
  <si>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</si>
  <si>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</si>
  <si>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</si>
  <si>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</si>
  <si>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</si>
  <si>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</si>
  <si>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</si>
  <si>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</si>
  <si>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</si>
  <si>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</si>
  <si>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</si>
  <si>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</si>
  <si>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</si>
  <si>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</si>
  <si>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</si>
  <si>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</si>
  <si>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</si>
  <si>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</si>
  <si>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</si>
  <si>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</si>
  <si>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</si>
  <si>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</si>
  <si>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</si>
  <si>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</si>
  <si>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</si>
  <si>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</si>
  <si>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</si>
  <si>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</si>
  <si>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</si>
  <si>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</si>
  <si>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</si>
  <si>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</si>
  <si>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</si>
  <si>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</si>
  <si>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</si>
  <si>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</si>
  <si>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</si>
  <si>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</si>
  <si>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</si>
  <si>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</si>
  <si>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</si>
  <si>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</si>
  <si>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</si>
  <si>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</si>
  <si>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</si>
  <si>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</si>
  <si>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</si>
  <si>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</si>
  <si>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</si>
  <si>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</si>
  <si>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</si>
  <si>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</si>
  <si>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</si>
  <si>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</si>
  <si>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</si>
  <si>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</si>
  <si>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</si>
  <si>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</si>
  <si>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</si>
  <si>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</si>
  <si>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</si>
  <si>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</si>
  <si>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</si>
  <si>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</si>
  <si>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</si>
  <si>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</si>
  <si>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</si>
  <si>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</si>
  <si>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</si>
  <si>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</si>
  <si>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</si>
  <si>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</si>
  <si>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</si>
  <si>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</si>
  <si>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</si>
  <si>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</si>
  <si>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</si>
  <si>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</si>
  <si>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</si>
  <si>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</si>
  <si>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</si>
  <si>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</si>
  <si>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</si>
  <si>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</si>
  <si>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</si>
  <si>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</si>
  <si>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</si>
  <si>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</si>
  <si>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</si>
  <si>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</si>
  <si>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</si>
  <si>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</si>
  <si>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</si>
  <si>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</si>
  <si>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</si>
  <si>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</si>
  <si>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</si>
  <si>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</si>
  <si>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</si>
  <si>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</si>
  <si>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</si>
  <si>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</si>
  <si>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</si>
  <si>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</si>
  <si>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</si>
  <si>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</si>
  <si>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</si>
  <si>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</si>
  <si>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</si>
  <si>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</si>
  <si>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</si>
  <si>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</si>
  <si>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</si>
  <si>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</si>
  <si>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</si>
  <si>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</si>
  <si>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</si>
  <si>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</si>
  <si>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</si>
  <si>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</si>
  <si>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</si>
  <si>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</si>
  <si>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</si>
  <si>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</si>
  <si>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</si>
  <si>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</si>
  <si>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</si>
  <si>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</si>
  <si>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</si>
  <si>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</si>
  <si>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</si>
  <si>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</si>
  <si>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</si>
  <si>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</si>
  <si>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</si>
  <si>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</si>
  <si>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</si>
  <si>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</si>
  <si>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</si>
  <si>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</si>
  <si>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</si>
  <si>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</si>
  <si>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</si>
  <si>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</si>
  <si>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</si>
  <si>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</si>
  <si>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</si>
  <si>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</si>
  <si>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</si>
  <si>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</si>
  <si>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</si>
  <si>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</si>
  <si>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</si>
  <si>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</si>
  <si>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</si>
  <si>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</si>
  <si>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</si>
  <si>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</si>
  <si>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</si>
  <si>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</si>
  <si>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</si>
  <si>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</si>
  <si>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</si>
  <si>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</si>
  <si>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</si>
  <si>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</si>
  <si>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</si>
  <si>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</si>
  <si>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</si>
  <si>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</si>
  <si>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</si>
  <si>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</si>
  <si>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</si>
  <si>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</si>
  <si>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</si>
  <si>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</si>
  <si>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</si>
  <si>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</si>
  <si>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</si>
  <si>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</si>
  <si>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</si>
  <si>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</si>
  <si>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</si>
  <si>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</si>
  <si>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</si>
  <si>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</si>
  <si>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</si>
  <si>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</si>
  <si>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</si>
  <si>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</si>
  <si>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</si>
  <si>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</si>
  <si>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</si>
  <si>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</si>
  <si>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</si>
  <si>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</si>
  <si>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</si>
  <si>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</si>
  <si>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</si>
  <si>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</si>
  <si>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</si>
  <si>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</si>
  <si>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</si>
  <si>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</si>
  <si>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</si>
  <si>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</si>
  <si>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</si>
  <si>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</si>
  <si>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</si>
  <si>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</si>
  <si>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</si>
  <si>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</si>
  <si>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</si>
  <si>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</si>
  <si>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</si>
  <si>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</si>
  <si>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</si>
  <si>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</si>
  <si>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</si>
  <si>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</si>
  <si>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</si>
  <si>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</si>
  <si>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</si>
  <si>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</si>
  <si>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</si>
  <si>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</si>
  <si>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</si>
  <si>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</si>
  <si>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</si>
  <si>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</si>
  <si>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</si>
  <si>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</si>
  <si>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</si>
  <si>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</si>
  <si>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</si>
  <si>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</si>
  <si>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</si>
  <si>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</si>
  <si>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</si>
  <si>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</si>
  <si>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</si>
  <si>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</si>
  <si>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</si>
  <si>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</si>
  <si>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</si>
  <si>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</si>
  <si>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</si>
  <si>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</si>
  <si>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</si>
  <si>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</si>
  <si>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</si>
  <si>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</si>
  <si>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</si>
  <si>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</si>
  <si>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</si>
  <si>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</si>
  <si>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</si>
  <si>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</si>
  <si>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</si>
  <si>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</si>
  <si>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</si>
  <si>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</si>
  <si>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</si>
  <si>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</si>
  <si>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</si>
  <si>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</si>
  <si>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</si>
  <si>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</si>
  <si>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</si>
  <si>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</si>
  <si>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</si>
  <si>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</si>
  <si>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</si>
  <si>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</si>
  <si>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</si>
  <si>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</si>
  <si>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</si>
  <si>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</si>
  <si>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</si>
  <si>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</si>
  <si>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</si>
  <si>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</si>
  <si>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</si>
  <si>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</si>
  <si>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</si>
  <si>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</si>
  <si>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</si>
  <si>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</si>
  <si>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</si>
  <si>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</si>
  <si>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</si>
  <si>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</si>
  <si>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</si>
  <si>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</si>
  <si>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</si>
  <si>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</si>
  <si>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</si>
  <si>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</si>
  <si>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</si>
  <si>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</si>
  <si>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</si>
  <si>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</si>
  <si>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</si>
  <si>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</si>
  <si>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</si>
  <si>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</si>
  <si>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</si>
  <si>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</si>
  <si>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</si>
  <si>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</si>
  <si>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</si>
  <si>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</si>
  <si>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</si>
  <si>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</si>
  <si>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</si>
  <si>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</si>
  <si>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</si>
  <si>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</si>
  <si>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</si>
  <si>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</si>
  <si>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</si>
  <si>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</si>
  <si>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</si>
  <si>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</si>
  <si>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</si>
  <si>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</si>
  <si>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</si>
  <si>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</si>
  <si>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</si>
  <si>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</si>
  <si>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</si>
  <si>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</si>
  <si>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</si>
  <si>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</si>
  <si>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</si>
  <si>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</si>
  <si>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</si>
  <si>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</si>
  <si>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</si>
  <si>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</si>
  <si>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</si>
  <si>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</si>
  <si>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</si>
  <si>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</si>
  <si>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</si>
  <si>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</si>
  <si>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</si>
  <si>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</si>
  <si>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</si>
  <si>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</si>
  <si>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</si>
  <si>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</si>
  <si>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</si>
  <si>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</si>
  <si>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</si>
  <si>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</si>
  <si>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</si>
  <si>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</si>
  <si>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</si>
  <si>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</si>
  <si>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</si>
  <si>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</si>
  <si>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</si>
  <si>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</si>
  <si>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</si>
  <si>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</si>
  <si>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</si>
  <si>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</si>
  <si>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</si>
  <si>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</si>
  <si>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</si>
  <si>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</si>
  <si>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</si>
  <si>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</si>
  <si>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</si>
  <si>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</si>
  <si>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</si>
  <si>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</si>
  <si>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</si>
  <si>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</si>
  <si>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</si>
  <si>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</si>
  <si>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</si>
  <si>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</si>
  <si>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</si>
  <si>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</si>
  <si>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</si>
  <si>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</si>
  <si>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</si>
  <si>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</si>
  <si>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</si>
  <si>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</si>
  <si>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</si>
  <si>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</si>
  <si>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</si>
  <si>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</si>
  <si>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</si>
  <si>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</si>
  <si>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</si>
  <si>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</si>
  <si>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</si>
  <si>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</si>
  <si>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</si>
  <si>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</si>
  <si>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</si>
  <si>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</si>
  <si>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</si>
  <si>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</si>
  <si>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</si>
  <si>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</si>
  <si>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</si>
  <si>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</si>
  <si>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</si>
  <si>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</si>
  <si>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</si>
  <si>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</si>
  <si>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</si>
  <si>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</si>
  <si>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</si>
  <si>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</si>
  <si>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</si>
  <si>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</si>
  <si>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</si>
  <si>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</si>
  <si>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</si>
  <si>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</si>
  <si>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</si>
  <si>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</si>
  <si>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</si>
  <si>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</si>
  <si>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</si>
  <si>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</si>
  <si>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</si>
  <si>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</si>
  <si>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</si>
  <si>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</si>
  <si>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</si>
  <si>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</si>
  <si>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</si>
  <si>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</si>
  <si>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</si>
  <si>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</si>
  <si>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</si>
  <si>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</si>
  <si>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</si>
  <si>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</si>
  <si>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</si>
  <si>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</si>
  <si>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Loyalty_Range</t>
  </si>
  <si>
    <t>OrderMonth</t>
  </si>
  <si>
    <t>Sign_up_Year</t>
  </si>
  <si>
    <t>DOB_Year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</si>
</sst>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1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right" vertical="top"/>
    </xf>
    <xf numFmtId="2" fontId="0" fillId="0" borderId="0" xfId="0" applyNumberFormat="1" applyAlignment="1">
      <alignment horizontal="right"/>
    </xf>
    <xf numFmtId="2" fontId="0" fillId="0" borderId="0" xfId="0" applyNumberFormat="1"/>
    <xf numFmtId="1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2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  <alignment horizontal="general" vertical="bottom" textRotation="0" wrapText="1" indent="0" justifyLastLine="0" shrinkToFit="0" readingOrder="0"/>
    </dxf>
    <dxf>
      <numFmt numFmtId="19" formatCode="dd/mm/yyyy"/>
    </dxf>
    <dxf>
      <alignment horizontal="right" vertical="bottom" textRotation="0" wrapText="0" indent="0" justifyLastLine="0" shrinkToFit="0" readingOrder="0"/>
    </dxf>
    <dxf>
      <numFmt numFmtId="19" formatCode="dd/mm/yyyy"/>
    </dxf>
    <dxf>
      <numFmt numFmtId="2" formatCode="0.00"/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27185C-5691-4C7E-B774-2774A84DE70B}" name="Table3" displayName="Table3" ref="A1:S201" totalsRowShown="0" headerRowDxfId="11" headerRowBorderDxfId="10" tableBorderDxfId="9">
  <autoFilter ref="A1:S201" xr:uid="{5727185C-5691-4C7E-B774-2774A84DE70B}"/>
  <tableColumns count="19">
    <tableColumn id="1" xr3:uid="{47D5BD4F-B9BE-4929-B3E6-5CD758C6566D}" name="CustomerID"/>
    <tableColumn id="2" xr3:uid="{430309B8-AC6B-423C-B6EB-8E4932582BF0}" name="FirstName"/>
    <tableColumn id="3" xr3:uid="{7B73EBF3-9445-4C35-AE2B-776F1DE83E1C}" name="LastName"/>
    <tableColumn id="4" xr3:uid="{BE785564-305E-4FA6-B163-2C0CD30C2603}" name="FullName"/>
    <tableColumn id="5" xr3:uid="{85A2CDC4-9A44-49EF-BD17-2FF22A72DC85}" name="Email"/>
    <tableColumn id="6" xr3:uid="{6B946741-E8C8-4A65-A2BE-E0D711F4109B}" name="Phone"/>
    <tableColumn id="7" xr3:uid="{DDCA23D6-676E-4D00-A0E4-33BED229C752}" name="AccountNumber"/>
    <tableColumn id="8" xr3:uid="{A5978820-D10F-46F8-93C0-C2244B7CFC01}" name="DOB_Year" dataDxfId="8">
      <calculatedColumnFormula>TEXT(I2,"YYYY")</calculatedColumnFormula>
    </tableColumn>
    <tableColumn id="9" xr3:uid="{F8DEF648-6A11-4BA2-8BDC-4131A992D64B}" name="DOB" dataDxfId="7"/>
    <tableColumn id="10" xr3:uid="{F23CE61D-37D2-4122-A2F0-42B5D4ACBC74}" name="Gender"/>
    <tableColumn id="11" xr3:uid="{A447685B-B9E6-4750-A424-C00859716984}" name="Sign_up_Year" dataDxfId="6">
      <calculatedColumnFormula>TEXT(L2, "YYYY")</calculatedColumnFormula>
    </tableColumn>
    <tableColumn id="12" xr3:uid="{3A0CBA10-E673-47E6-B003-776D47A52C5D}" name="SignupDate" dataDxfId="5"/>
    <tableColumn id="13" xr3:uid="{DA648246-826D-4CF0-8223-7D7E63BA34A4}" name="Loyalty_Range" dataDxfId="4">
      <calculatedColumnFormula array="1">_xlfn.IFS(
N2&lt;500,"Very Low",
N2&lt;1500,"Low",
N2&lt;3000,"Medium",
N2&lt;4000,"High",
TRUE,"Very High"
)</calculatedColumnFormula>
    </tableColumn>
    <tableColumn id="14" xr3:uid="{7A4740CC-C98A-4F12-A8C9-96E5008813B6}" name="LoyaltyPoints"/>
    <tableColumn id="15" xr3:uid="{62081C9A-F116-4C27-BD00-570A89FF9ECA}" name="Street"/>
    <tableColumn id="16" xr3:uid="{59684246-6006-4C44-B648-C97113E9A8EB}" name="City"/>
    <tableColumn id="17" xr3:uid="{DE0F1B55-E580-4C51-A071-671B2107DA47}" name="State"/>
    <tableColumn id="18" xr3:uid="{5CBFCB2D-2481-4B46-824D-8C56969943A6}" name="ZIP"/>
    <tableColumn id="19" xr3:uid="{7F4ABA41-3BBC-45DA-AFB5-DCA69A168B30}" name="Count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370191-F022-4A6A-90BF-7CDA081B6DFD}" name="Table4" displayName="Table4" ref="A1:J501" totalsRowShown="0" headerRowDxfId="3" headerRowBorderDxfId="2" tableBorderDxfId="1">
  <autoFilter ref="A1:J501" xr:uid="{BC370191-F022-4A6A-90BF-7CDA081B6DFD}"/>
  <tableColumns count="10">
    <tableColumn id="1" xr3:uid="{F927685D-3593-40FB-A985-923800026B41}" name="OrderID"/>
    <tableColumn id="2" xr3:uid="{ACCE6687-7378-43FB-8832-99D7EF1F44B9}" name="CustomerID"/>
    <tableColumn id="3" xr3:uid="{A809F476-4841-4AC2-9A37-3FEF17520245}" name="Product"/>
    <tableColumn id="4" xr3:uid="{D0238059-7BBD-4D68-87A7-EDE89B7AB069}" name="Quantity"/>
    <tableColumn id="5" xr3:uid="{0C2C483F-0534-4658-B21B-73D0272A48EB}" name="Price"/>
    <tableColumn id="6" xr3:uid="{E4AFAA7A-A99E-473E-95D3-2BA9ED78D175}" name="TotalAmount"/>
    <tableColumn id="7" xr3:uid="{E2C943E5-4F3D-464D-9094-B03413A533FB}" name="OrderMonth">
      <calculatedColumnFormula>TEXT(H2,"mmmm")</calculatedColumnFormula>
    </tableColumn>
    <tableColumn id="8" xr3:uid="{ECAD02F9-32F6-4D0A-AA61-387BCA8C32C2}" name="OrderDate" dataDxfId="0"/>
    <tableColumn id="9" xr3:uid="{A7B39893-7C72-480C-9861-3F98406C3996}" name="Status"/>
    <tableColumn id="10" xr3:uid="{18DA3CDF-D07A-4837-B2B6-3A0D1035E14E}" name="Payment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workbookViewId="0">
      <selection sqref="A1:XFD1"/>
    </sheetView>
  </sheetViews>
  <sheetFormatPr defaultRowHeight="14.4" x14ac:dyDescent="0.3"/>
  <cols>
    <col min="1" max="6" width="14" customWidth="1"/>
    <col min="7" max="7" width="17.44140625" customWidth="1"/>
    <col min="8" max="8" width="18.44140625" style="9" customWidth="1"/>
    <col min="9" max="9" width="14" customWidth="1"/>
    <col min="10" max="10" width="14.33203125" style="3" customWidth="1"/>
    <col min="11" max="12" width="17.77734375" style="1" customWidth="1"/>
    <col min="13" max="13" width="14.21875" customWidth="1"/>
    <col min="14" max="18" width="14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1593</v>
      </c>
      <c r="I1" s="10" t="s">
        <v>7</v>
      </c>
      <c r="J1" s="4" t="s">
        <v>8</v>
      </c>
      <c r="K1" s="5" t="s">
        <v>1592</v>
      </c>
      <c r="L1" s="6" t="s">
        <v>9</v>
      </c>
      <c r="M1" s="6" t="s">
        <v>1590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</row>
    <row r="2" spans="1:19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802204057664</v>
      </c>
      <c r="H2" s="8" t="str">
        <f>TEXT(I2,"YYYY")</f>
        <v>1960</v>
      </c>
      <c r="I2" s="1">
        <v>21975</v>
      </c>
      <c r="J2" t="s">
        <v>22</v>
      </c>
      <c r="K2" s="3" t="str">
        <f>TEXT(L2, "YYYY")</f>
        <v>2022</v>
      </c>
      <c r="L2" s="1">
        <v>44825</v>
      </c>
      <c r="M2" s="2" t="str" cm="1">
        <f t="array" ref="M2">_xlfn.IFS(
N2&lt;500,"Very Low",
N2&lt;1500,"Low",
N2&lt;3000,"Medium",
N2&lt;4000,"High",
TRUE,"Very High"
)</f>
        <v>Low</v>
      </c>
      <c r="N2">
        <v>1235</v>
      </c>
      <c r="O2" t="s">
        <v>23</v>
      </c>
      <c r="P2" t="s">
        <v>24</v>
      </c>
      <c r="Q2" t="s">
        <v>25</v>
      </c>
      <c r="R2">
        <v>968800</v>
      </c>
      <c r="S2" t="s">
        <v>26</v>
      </c>
    </row>
    <row r="3" spans="1:19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668974807595</v>
      </c>
      <c r="H3" s="8" t="str">
        <f t="shared" ref="H3:H66" si="0">TEXT(I3,"YYYY")</f>
        <v>1947</v>
      </c>
      <c r="I3" s="1">
        <v>17467</v>
      </c>
      <c r="J3" t="s">
        <v>22</v>
      </c>
      <c r="K3" s="3" t="str">
        <f t="shared" ref="K3:K66" si="1">TEXT(L3, "YYYY")</f>
        <v>2019</v>
      </c>
      <c r="L3" s="1">
        <v>43568</v>
      </c>
      <c r="M3" s="2" t="str" cm="1">
        <f t="array" ref="M3">_xlfn.IFS(
N3&lt;500,"Very Low",
N3&lt;1500,"Low",
N3&lt;3000,"Medium",
N3&lt;4000,"High",
TRUE,"Very High"
)</f>
        <v>Medium</v>
      </c>
      <c r="N3">
        <v>2057</v>
      </c>
      <c r="O3" t="s">
        <v>33</v>
      </c>
      <c r="P3" t="s">
        <v>34</v>
      </c>
      <c r="Q3" t="s">
        <v>35</v>
      </c>
      <c r="R3">
        <v>39951</v>
      </c>
      <c r="S3" t="s">
        <v>36</v>
      </c>
    </row>
    <row r="4" spans="1:19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>
        <v>928642228628</v>
      </c>
      <c r="H4" s="8" t="str">
        <f t="shared" si="0"/>
        <v>1976</v>
      </c>
      <c r="I4" s="1">
        <v>27898</v>
      </c>
      <c r="J4" t="s">
        <v>22</v>
      </c>
      <c r="K4" s="3" t="str">
        <f t="shared" si="1"/>
        <v>2023</v>
      </c>
      <c r="L4" s="1">
        <v>45182</v>
      </c>
      <c r="M4" s="2" t="str" cm="1">
        <f t="array" ref="M4">_xlfn.IFS(
N4&lt;500,"Very Low",
N4&lt;1500,"Low",
N4&lt;3000,"Medium",
N4&lt;4000,"High",
TRUE,"Very High"
)</f>
        <v>Medium</v>
      </c>
      <c r="N4">
        <v>2372</v>
      </c>
      <c r="O4" t="s">
        <v>43</v>
      </c>
      <c r="P4" t="s">
        <v>44</v>
      </c>
      <c r="Q4" t="s">
        <v>45</v>
      </c>
      <c r="R4">
        <v>11620</v>
      </c>
      <c r="S4" t="s">
        <v>36</v>
      </c>
    </row>
    <row r="5" spans="1:19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721496311754</v>
      </c>
      <c r="H5" s="8" t="str">
        <f t="shared" si="0"/>
        <v>2005</v>
      </c>
      <c r="I5" s="1">
        <v>38590</v>
      </c>
      <c r="J5" t="s">
        <v>52</v>
      </c>
      <c r="K5" s="3" t="str">
        <f t="shared" si="1"/>
        <v>2022</v>
      </c>
      <c r="L5" s="1">
        <v>44643</v>
      </c>
      <c r="M5" s="2" t="str" cm="1">
        <f t="array" ref="M5">_xlfn.IFS(
N5&lt;500,"Very Low",
N5&lt;1500,"Low",
N5&lt;3000,"Medium",
N5&lt;4000,"High",
TRUE,"Very High"
)</f>
        <v>Low</v>
      </c>
      <c r="N5">
        <v>1247</v>
      </c>
      <c r="O5" t="s">
        <v>53</v>
      </c>
      <c r="P5" t="s">
        <v>54</v>
      </c>
      <c r="Q5" t="s">
        <v>25</v>
      </c>
      <c r="R5">
        <v>206607</v>
      </c>
      <c r="S5" t="s">
        <v>26</v>
      </c>
    </row>
    <row r="6" spans="1:19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>
        <v>799485565036</v>
      </c>
      <c r="H6" s="8" t="str">
        <f t="shared" si="0"/>
        <v>1995</v>
      </c>
      <c r="I6" s="1">
        <v>34749</v>
      </c>
      <c r="J6" t="s">
        <v>61</v>
      </c>
      <c r="K6" s="3" t="str">
        <f t="shared" si="1"/>
        <v>2018</v>
      </c>
      <c r="L6" s="1">
        <v>43379</v>
      </c>
      <c r="M6" s="2" t="str" cm="1">
        <f t="array" ref="M6">_xlfn.IFS(
N6&lt;500,"Very Low",
N6&lt;1500,"Low",
N6&lt;3000,"Medium",
N6&lt;4000,"High",
TRUE,"Very High"
)</f>
        <v>Low</v>
      </c>
      <c r="N6">
        <v>687</v>
      </c>
      <c r="O6" t="s">
        <v>62</v>
      </c>
      <c r="P6" t="s">
        <v>63</v>
      </c>
      <c r="Q6" t="s">
        <v>64</v>
      </c>
      <c r="R6">
        <v>170163</v>
      </c>
      <c r="S6" t="s">
        <v>26</v>
      </c>
    </row>
    <row r="7" spans="1:19" x14ac:dyDescent="0.3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>
        <v>993127425419</v>
      </c>
      <c r="H7" s="8" t="str">
        <f t="shared" si="0"/>
        <v>1971</v>
      </c>
      <c r="I7" s="1">
        <v>25970</v>
      </c>
      <c r="J7" t="s">
        <v>61</v>
      </c>
      <c r="K7" s="3" t="str">
        <f t="shared" si="1"/>
        <v>2022</v>
      </c>
      <c r="L7" s="1">
        <v>44686</v>
      </c>
      <c r="M7" s="2" t="str" cm="1">
        <f t="array" ref="M7">_xlfn.IFS(
N7&lt;500,"Very Low",
N7&lt;1500,"Low",
N7&lt;3000,"Medium",
N7&lt;4000,"High",
TRUE,"Very High"
)</f>
        <v>Very High</v>
      </c>
      <c r="N7">
        <v>4741</v>
      </c>
      <c r="O7" t="s">
        <v>71</v>
      </c>
      <c r="P7" t="s">
        <v>72</v>
      </c>
      <c r="Q7" t="s">
        <v>73</v>
      </c>
      <c r="R7">
        <v>74485</v>
      </c>
      <c r="S7" t="s">
        <v>36</v>
      </c>
    </row>
    <row r="8" spans="1:19" x14ac:dyDescent="0.3">
      <c r="A8" t="s">
        <v>74</v>
      </c>
      <c r="B8" t="s">
        <v>66</v>
      </c>
      <c r="C8" t="s">
        <v>75</v>
      </c>
      <c r="D8" t="s">
        <v>76</v>
      </c>
      <c r="E8" t="s">
        <v>77</v>
      </c>
      <c r="F8" t="s">
        <v>78</v>
      </c>
      <c r="G8">
        <v>285977180232</v>
      </c>
      <c r="H8" s="8" t="str">
        <f t="shared" si="0"/>
        <v>1970</v>
      </c>
      <c r="I8" s="1">
        <v>25852</v>
      </c>
      <c r="J8" t="s">
        <v>52</v>
      </c>
      <c r="K8" s="3" t="str">
        <f t="shared" si="1"/>
        <v>2022</v>
      </c>
      <c r="L8" s="1">
        <v>44694</v>
      </c>
      <c r="M8" s="2" t="str" cm="1">
        <f t="array" ref="M8">_xlfn.IFS(
N8&lt;500,"Very Low",
N8&lt;1500,"Low",
N8&lt;3000,"Medium",
N8&lt;4000,"High",
TRUE,"Very High"
)</f>
        <v>High</v>
      </c>
      <c r="N8">
        <v>3850</v>
      </c>
      <c r="O8" t="s">
        <v>79</v>
      </c>
      <c r="P8" t="s">
        <v>80</v>
      </c>
      <c r="Q8" t="s">
        <v>81</v>
      </c>
      <c r="R8">
        <v>798081</v>
      </c>
      <c r="S8" t="s">
        <v>26</v>
      </c>
    </row>
    <row r="9" spans="1:19" x14ac:dyDescent="0.3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>
        <v>125093735402</v>
      </c>
      <c r="H9" s="8" t="str">
        <f t="shared" si="0"/>
        <v>1983</v>
      </c>
      <c r="I9" s="1">
        <v>30549</v>
      </c>
      <c r="J9" t="s">
        <v>61</v>
      </c>
      <c r="K9" s="3" t="str">
        <f t="shared" si="1"/>
        <v>2018</v>
      </c>
      <c r="L9" s="1">
        <v>43459</v>
      </c>
      <c r="M9" s="2" t="str" cm="1">
        <f t="array" ref="M9">_xlfn.IFS(
N9&lt;500,"Very Low",
N9&lt;1500,"Low",
N9&lt;3000,"Medium",
N9&lt;4000,"High",
TRUE,"Very High"
)</f>
        <v>Medium</v>
      </c>
      <c r="N9">
        <v>1828</v>
      </c>
      <c r="O9" t="s">
        <v>88</v>
      </c>
      <c r="P9" t="s">
        <v>89</v>
      </c>
      <c r="Q9" t="s">
        <v>45</v>
      </c>
      <c r="R9">
        <v>50623</v>
      </c>
      <c r="S9" t="s">
        <v>36</v>
      </c>
    </row>
    <row r="10" spans="1:19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>
        <v>274045189915</v>
      </c>
      <c r="H10" s="8" t="str">
        <f t="shared" si="0"/>
        <v>1969</v>
      </c>
      <c r="I10" s="1">
        <v>25537</v>
      </c>
      <c r="J10" t="s">
        <v>52</v>
      </c>
      <c r="K10" s="3" t="str">
        <f t="shared" si="1"/>
        <v>2024</v>
      </c>
      <c r="L10" s="1">
        <v>45588</v>
      </c>
      <c r="M10" s="2" t="str" cm="1">
        <f t="array" ref="M10">_xlfn.IFS(
N10&lt;500,"Very Low",
N10&lt;1500,"Low",
N10&lt;3000,"Medium",
N10&lt;4000,"High",
TRUE,"Very High"
)</f>
        <v>Low</v>
      </c>
      <c r="N10">
        <v>656</v>
      </c>
      <c r="O10" t="s">
        <v>96</v>
      </c>
      <c r="P10" t="s">
        <v>80</v>
      </c>
      <c r="Q10" t="s">
        <v>97</v>
      </c>
      <c r="R10">
        <v>621045</v>
      </c>
      <c r="S10" t="s">
        <v>26</v>
      </c>
    </row>
    <row r="11" spans="1:19" x14ac:dyDescent="0.3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>
        <v>221477488570</v>
      </c>
      <c r="H11" s="8" t="str">
        <f t="shared" si="0"/>
        <v>1997</v>
      </c>
      <c r="I11" s="1">
        <v>35460</v>
      </c>
      <c r="J11" t="s">
        <v>22</v>
      </c>
      <c r="K11" s="3" t="str">
        <f t="shared" si="1"/>
        <v>2019</v>
      </c>
      <c r="L11" s="1">
        <v>43685</v>
      </c>
      <c r="M11" s="2" t="str" cm="1">
        <f t="array" ref="M11">_xlfn.IFS(
N11&lt;500,"Very Low",
N11&lt;1500,"Low",
N11&lt;3000,"Medium",
N11&lt;4000,"High",
TRUE,"Very High"
)</f>
        <v>Medium</v>
      </c>
      <c r="N11">
        <v>2884</v>
      </c>
      <c r="O11" t="s">
        <v>104</v>
      </c>
      <c r="P11" t="s">
        <v>80</v>
      </c>
      <c r="Q11" t="s">
        <v>81</v>
      </c>
      <c r="R11">
        <v>541997</v>
      </c>
      <c r="S11" t="s">
        <v>26</v>
      </c>
    </row>
    <row r="12" spans="1:19" x14ac:dyDescent="0.3">
      <c r="A12" t="s">
        <v>105</v>
      </c>
      <c r="B12" t="s">
        <v>106</v>
      </c>
      <c r="C12" t="s">
        <v>92</v>
      </c>
      <c r="D12" t="s">
        <v>107</v>
      </c>
      <c r="E12" t="s">
        <v>108</v>
      </c>
      <c r="F12" t="s">
        <v>109</v>
      </c>
      <c r="G12">
        <v>813214208396</v>
      </c>
      <c r="H12" s="8" t="str">
        <f t="shared" si="0"/>
        <v>1971</v>
      </c>
      <c r="I12" s="1">
        <v>26230</v>
      </c>
      <c r="J12" t="s">
        <v>52</v>
      </c>
      <c r="K12" s="3" t="str">
        <f t="shared" si="1"/>
        <v>2024</v>
      </c>
      <c r="L12" s="1">
        <v>45634</v>
      </c>
      <c r="M12" s="2" t="str" cm="1">
        <f t="array" ref="M12">_xlfn.IFS(
N12&lt;500,"Very Low",
N12&lt;1500,"Low",
N12&lt;3000,"Medium",
N12&lt;4000,"High",
TRUE,"Very High"
)</f>
        <v>Medium</v>
      </c>
      <c r="N12">
        <v>2382</v>
      </c>
      <c r="O12" t="s">
        <v>110</v>
      </c>
      <c r="P12" t="s">
        <v>111</v>
      </c>
      <c r="Q12" t="s">
        <v>112</v>
      </c>
      <c r="R12">
        <v>827736</v>
      </c>
      <c r="S12" t="s">
        <v>26</v>
      </c>
    </row>
    <row r="13" spans="1:19" x14ac:dyDescent="0.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>
        <v>497816797034</v>
      </c>
      <c r="H13" s="8" t="str">
        <f t="shared" si="0"/>
        <v>1989</v>
      </c>
      <c r="I13" s="1">
        <v>32695</v>
      </c>
      <c r="J13" t="s">
        <v>61</v>
      </c>
      <c r="K13" s="3" t="str">
        <f t="shared" si="1"/>
        <v>2025</v>
      </c>
      <c r="L13" s="1">
        <v>45890</v>
      </c>
      <c r="M13" s="2" t="str" cm="1">
        <f t="array" ref="M13">_xlfn.IFS(
N13&lt;500,"Very Low",
N13&lt;1500,"Low",
N13&lt;3000,"Medium",
N13&lt;4000,"High",
TRUE,"Very High"
)</f>
        <v>Very High</v>
      </c>
      <c r="N13">
        <v>4372</v>
      </c>
      <c r="O13" t="s">
        <v>119</v>
      </c>
      <c r="P13" t="s">
        <v>24</v>
      </c>
      <c r="Q13" t="s">
        <v>120</v>
      </c>
      <c r="R13">
        <v>191487</v>
      </c>
      <c r="S13" t="s">
        <v>26</v>
      </c>
    </row>
    <row r="14" spans="1:19" x14ac:dyDescent="0.3">
      <c r="A14" t="s">
        <v>121</v>
      </c>
      <c r="B14" t="s">
        <v>56</v>
      </c>
      <c r="C14" t="s">
        <v>39</v>
      </c>
      <c r="D14" t="s">
        <v>122</v>
      </c>
      <c r="E14" t="s">
        <v>123</v>
      </c>
      <c r="F14" t="s">
        <v>124</v>
      </c>
      <c r="G14">
        <v>223107142584</v>
      </c>
      <c r="H14" s="8" t="str">
        <f t="shared" si="0"/>
        <v>1992</v>
      </c>
      <c r="I14" s="1">
        <v>33788</v>
      </c>
      <c r="J14" t="s">
        <v>61</v>
      </c>
      <c r="K14" s="3" t="str">
        <f t="shared" si="1"/>
        <v>2021</v>
      </c>
      <c r="L14" s="1">
        <v>44214</v>
      </c>
      <c r="M14" s="2" t="str" cm="1">
        <f t="array" ref="M14">_xlfn.IFS(
N14&lt;500,"Very Low",
N14&lt;1500,"Low",
N14&lt;3000,"Medium",
N14&lt;4000,"High",
TRUE,"Very High"
)</f>
        <v>Medium</v>
      </c>
      <c r="N14">
        <v>1868</v>
      </c>
      <c r="O14" t="s">
        <v>125</v>
      </c>
      <c r="P14" t="s">
        <v>24</v>
      </c>
      <c r="Q14" t="s">
        <v>81</v>
      </c>
      <c r="R14">
        <v>257414</v>
      </c>
      <c r="S14" t="s">
        <v>26</v>
      </c>
    </row>
    <row r="15" spans="1:19" x14ac:dyDescent="0.3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>
        <v>728455084355</v>
      </c>
      <c r="H15" s="8" t="str">
        <f t="shared" si="0"/>
        <v>1976</v>
      </c>
      <c r="I15" s="1">
        <v>27910</v>
      </c>
      <c r="J15" t="s">
        <v>22</v>
      </c>
      <c r="K15" s="3" t="str">
        <f t="shared" si="1"/>
        <v>2022</v>
      </c>
      <c r="L15" s="1">
        <v>44662</v>
      </c>
      <c r="M15" s="2" t="str" cm="1">
        <f t="array" ref="M15">_xlfn.IFS(
N15&lt;500,"Very Low",
N15&lt;1500,"Low",
N15&lt;3000,"Medium",
N15&lt;4000,"High",
TRUE,"Very High"
)</f>
        <v>Very Low</v>
      </c>
      <c r="N15">
        <v>289</v>
      </c>
      <c r="O15" t="s">
        <v>132</v>
      </c>
      <c r="P15" t="s">
        <v>133</v>
      </c>
      <c r="Q15" t="s">
        <v>45</v>
      </c>
      <c r="R15">
        <v>93090</v>
      </c>
      <c r="S15" t="s">
        <v>36</v>
      </c>
    </row>
    <row r="16" spans="1:19" x14ac:dyDescent="0.3">
      <c r="A16" t="s">
        <v>134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>
        <v>222234259572</v>
      </c>
      <c r="H16" s="8" t="str">
        <f t="shared" si="0"/>
        <v>1983</v>
      </c>
      <c r="I16" s="1">
        <v>30630</v>
      </c>
      <c r="J16" t="s">
        <v>52</v>
      </c>
      <c r="K16" s="3" t="str">
        <f t="shared" si="1"/>
        <v>2023</v>
      </c>
      <c r="L16" s="1">
        <v>44961</v>
      </c>
      <c r="M16" s="2" t="str" cm="1">
        <f t="array" ref="M16">_xlfn.IFS(
N16&lt;500,"Very Low",
N16&lt;1500,"Low",
N16&lt;3000,"Medium",
N16&lt;4000,"High",
TRUE,"Very High"
)</f>
        <v>Medium</v>
      </c>
      <c r="N16">
        <v>2901</v>
      </c>
      <c r="O16" t="s">
        <v>140</v>
      </c>
      <c r="P16" t="s">
        <v>54</v>
      </c>
      <c r="Q16" t="s">
        <v>112</v>
      </c>
      <c r="R16">
        <v>562342</v>
      </c>
      <c r="S16" t="s">
        <v>26</v>
      </c>
    </row>
    <row r="17" spans="1:19" x14ac:dyDescent="0.3">
      <c r="A17" t="s">
        <v>141</v>
      </c>
      <c r="B17" t="s">
        <v>142</v>
      </c>
      <c r="C17" t="s">
        <v>67</v>
      </c>
      <c r="D17" t="s">
        <v>143</v>
      </c>
      <c r="E17" t="s">
        <v>144</v>
      </c>
      <c r="F17" t="s">
        <v>145</v>
      </c>
      <c r="G17">
        <v>337481300064</v>
      </c>
      <c r="H17" s="8" t="str">
        <f t="shared" si="0"/>
        <v>1957</v>
      </c>
      <c r="I17" s="1">
        <v>21151</v>
      </c>
      <c r="J17" t="s">
        <v>22</v>
      </c>
      <c r="K17" s="3" t="str">
        <f t="shared" si="1"/>
        <v>2024</v>
      </c>
      <c r="L17" s="1">
        <v>45321</v>
      </c>
      <c r="M17" s="2" t="str" cm="1">
        <f t="array" ref="M17">_xlfn.IFS(
N17&lt;500,"Very Low",
N17&lt;1500,"Low",
N17&lt;3000,"Medium",
N17&lt;4000,"High",
TRUE,"Very High"
)</f>
        <v>Medium</v>
      </c>
      <c r="N17">
        <v>1854</v>
      </c>
      <c r="O17" t="s">
        <v>146</v>
      </c>
      <c r="P17" t="s">
        <v>112</v>
      </c>
      <c r="Q17" t="s">
        <v>147</v>
      </c>
      <c r="R17">
        <v>391656</v>
      </c>
      <c r="S17" t="s">
        <v>26</v>
      </c>
    </row>
    <row r="18" spans="1:19" x14ac:dyDescent="0.3">
      <c r="A18" t="s">
        <v>148</v>
      </c>
      <c r="B18" t="s">
        <v>17</v>
      </c>
      <c r="C18" t="s">
        <v>39</v>
      </c>
      <c r="D18" t="s">
        <v>149</v>
      </c>
      <c r="E18" t="s">
        <v>150</v>
      </c>
      <c r="F18" t="s">
        <v>151</v>
      </c>
      <c r="G18">
        <v>652986298407</v>
      </c>
      <c r="H18" s="8" t="str">
        <f t="shared" si="0"/>
        <v>1970</v>
      </c>
      <c r="I18" s="1">
        <v>25755</v>
      </c>
      <c r="J18" t="s">
        <v>22</v>
      </c>
      <c r="K18" s="3" t="str">
        <f t="shared" si="1"/>
        <v>2022</v>
      </c>
      <c r="L18" s="1">
        <v>44673</v>
      </c>
      <c r="M18" s="2" t="str" cm="1">
        <f t="array" ref="M18">_xlfn.IFS(
N18&lt;500,"Very Low",
N18&lt;1500,"Low",
N18&lt;3000,"Medium",
N18&lt;4000,"High",
TRUE,"Very High"
)</f>
        <v>Low</v>
      </c>
      <c r="N18">
        <v>814</v>
      </c>
      <c r="O18" t="s">
        <v>152</v>
      </c>
      <c r="P18" t="s">
        <v>63</v>
      </c>
      <c r="Q18" t="s">
        <v>147</v>
      </c>
      <c r="R18">
        <v>775811</v>
      </c>
      <c r="S18" t="s">
        <v>26</v>
      </c>
    </row>
    <row r="19" spans="1:19" x14ac:dyDescent="0.3">
      <c r="A19" t="s">
        <v>153</v>
      </c>
      <c r="B19" t="s">
        <v>154</v>
      </c>
      <c r="C19" t="s">
        <v>29</v>
      </c>
      <c r="D19" t="s">
        <v>155</v>
      </c>
      <c r="E19" t="s">
        <v>156</v>
      </c>
      <c r="F19" t="s">
        <v>157</v>
      </c>
      <c r="G19">
        <v>569891804612</v>
      </c>
      <c r="H19" s="8" t="str">
        <f t="shared" si="0"/>
        <v>1945</v>
      </c>
      <c r="I19" s="1">
        <v>16451</v>
      </c>
      <c r="J19" t="s">
        <v>52</v>
      </c>
      <c r="K19" s="3" t="str">
        <f t="shared" si="1"/>
        <v>2020</v>
      </c>
      <c r="L19" s="1">
        <v>43852</v>
      </c>
      <c r="M19" s="2" t="str" cm="1">
        <f t="array" ref="M19">_xlfn.IFS(
N19&lt;500,"Very Low",
N19&lt;1500,"Low",
N19&lt;3000,"Medium",
N19&lt;4000,"High",
TRUE,"Very High"
)</f>
        <v>Medium</v>
      </c>
      <c r="N19">
        <v>2043</v>
      </c>
      <c r="O19" t="s">
        <v>158</v>
      </c>
      <c r="P19" t="s">
        <v>159</v>
      </c>
      <c r="Q19" t="s">
        <v>35</v>
      </c>
      <c r="R19">
        <v>21914</v>
      </c>
      <c r="S19" t="s">
        <v>36</v>
      </c>
    </row>
    <row r="20" spans="1:19" x14ac:dyDescent="0.3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>
        <v>354901035539</v>
      </c>
      <c r="H20" s="8" t="str">
        <f t="shared" si="0"/>
        <v>2001</v>
      </c>
      <c r="I20" s="1">
        <v>36996</v>
      </c>
      <c r="J20" t="s">
        <v>22</v>
      </c>
      <c r="K20" s="3" t="str">
        <f t="shared" si="1"/>
        <v>2025</v>
      </c>
      <c r="L20" s="1">
        <v>45672</v>
      </c>
      <c r="M20" s="2" t="str" cm="1">
        <f t="array" ref="M20">_xlfn.IFS(
N20&lt;500,"Very Low",
N20&lt;1500,"Low",
N20&lt;3000,"Medium",
N20&lt;4000,"High",
TRUE,"Very High"
)</f>
        <v>Medium</v>
      </c>
      <c r="N20">
        <v>2672</v>
      </c>
      <c r="O20" t="s">
        <v>166</v>
      </c>
      <c r="P20" t="s">
        <v>89</v>
      </c>
      <c r="Q20" t="s">
        <v>167</v>
      </c>
      <c r="R20">
        <v>55003</v>
      </c>
      <c r="S20" t="s">
        <v>36</v>
      </c>
    </row>
    <row r="21" spans="1:19" x14ac:dyDescent="0.3">
      <c r="A21" t="s">
        <v>168</v>
      </c>
      <c r="B21" t="s">
        <v>169</v>
      </c>
      <c r="C21" t="s">
        <v>39</v>
      </c>
      <c r="D21" t="s">
        <v>170</v>
      </c>
      <c r="E21" t="s">
        <v>171</v>
      </c>
      <c r="F21" t="s">
        <v>172</v>
      </c>
      <c r="G21">
        <v>117548712557</v>
      </c>
      <c r="H21" s="8" t="str">
        <f t="shared" si="0"/>
        <v>1961</v>
      </c>
      <c r="I21" s="1">
        <v>22592</v>
      </c>
      <c r="J21" t="s">
        <v>52</v>
      </c>
      <c r="K21" s="3" t="str">
        <f t="shared" si="1"/>
        <v>2025</v>
      </c>
      <c r="L21" s="1">
        <v>45860</v>
      </c>
      <c r="M21" s="2" t="str" cm="1">
        <f t="array" ref="M21">_xlfn.IFS(
N21&lt;500,"Very Low",
N21&lt;1500,"Low",
N21&lt;3000,"Medium",
N21&lt;4000,"High",
TRUE,"Very High"
)</f>
        <v>Medium</v>
      </c>
      <c r="N21">
        <v>2242</v>
      </c>
      <c r="O21" t="s">
        <v>173</v>
      </c>
      <c r="P21" t="s">
        <v>174</v>
      </c>
      <c r="Q21" t="s">
        <v>45</v>
      </c>
      <c r="R21">
        <v>15261</v>
      </c>
      <c r="S21" t="s">
        <v>36</v>
      </c>
    </row>
    <row r="22" spans="1:19" x14ac:dyDescent="0.3">
      <c r="A22" t="s">
        <v>175</v>
      </c>
      <c r="B22" t="s">
        <v>176</v>
      </c>
      <c r="C22" t="s">
        <v>128</v>
      </c>
      <c r="D22" t="s">
        <v>177</v>
      </c>
      <c r="E22" t="s">
        <v>178</v>
      </c>
      <c r="F22" t="s">
        <v>179</v>
      </c>
      <c r="G22">
        <v>878273832036</v>
      </c>
      <c r="H22" s="8" t="str">
        <f t="shared" si="0"/>
        <v>1978</v>
      </c>
      <c r="I22" s="1">
        <v>28840</v>
      </c>
      <c r="J22" t="s">
        <v>61</v>
      </c>
      <c r="K22" s="3" t="str">
        <f t="shared" si="1"/>
        <v>2022</v>
      </c>
      <c r="L22" s="1">
        <v>44882</v>
      </c>
      <c r="M22" s="2" t="str" cm="1">
        <f t="array" ref="M22">_xlfn.IFS(
N22&lt;500,"Very Low",
N22&lt;1500,"Low",
N22&lt;3000,"Medium",
N22&lt;4000,"High",
TRUE,"Very High"
)</f>
        <v>Very Low</v>
      </c>
      <c r="N22">
        <v>271</v>
      </c>
      <c r="O22" t="s">
        <v>180</v>
      </c>
      <c r="P22" t="s">
        <v>72</v>
      </c>
      <c r="Q22" t="s">
        <v>73</v>
      </c>
      <c r="R22">
        <v>75035</v>
      </c>
      <c r="S22" t="s">
        <v>36</v>
      </c>
    </row>
    <row r="23" spans="1:19" x14ac:dyDescent="0.3">
      <c r="A23" t="s">
        <v>181</v>
      </c>
      <c r="B23" t="s">
        <v>182</v>
      </c>
      <c r="C23" t="s">
        <v>183</v>
      </c>
      <c r="D23" t="s">
        <v>184</v>
      </c>
      <c r="E23" t="s">
        <v>185</v>
      </c>
      <c r="F23" t="s">
        <v>186</v>
      </c>
      <c r="G23">
        <v>607682562112</v>
      </c>
      <c r="H23" s="8" t="str">
        <f t="shared" si="0"/>
        <v>1988</v>
      </c>
      <c r="I23" s="1">
        <v>32170</v>
      </c>
      <c r="J23" t="s">
        <v>52</v>
      </c>
      <c r="K23" s="3" t="str">
        <f t="shared" si="1"/>
        <v>2024</v>
      </c>
      <c r="L23" s="1">
        <v>45345</v>
      </c>
      <c r="M23" s="2" t="str" cm="1">
        <f t="array" ref="M23">_xlfn.IFS(
N23&lt;500,"Very Low",
N23&lt;1500,"Low",
N23&lt;3000,"Medium",
N23&lt;4000,"High",
TRUE,"Very High"
)</f>
        <v>Very High</v>
      </c>
      <c r="N23">
        <v>4043</v>
      </c>
      <c r="O23" t="s">
        <v>187</v>
      </c>
      <c r="P23" t="s">
        <v>54</v>
      </c>
      <c r="Q23" t="s">
        <v>188</v>
      </c>
      <c r="R23">
        <v>345979</v>
      </c>
      <c r="S23" t="s">
        <v>26</v>
      </c>
    </row>
    <row r="24" spans="1:19" x14ac:dyDescent="0.3">
      <c r="A24" t="s">
        <v>189</v>
      </c>
      <c r="B24" t="s">
        <v>17</v>
      </c>
      <c r="C24" t="s">
        <v>190</v>
      </c>
      <c r="D24" t="s">
        <v>191</v>
      </c>
      <c r="E24" t="s">
        <v>192</v>
      </c>
      <c r="F24" t="s">
        <v>193</v>
      </c>
      <c r="G24">
        <v>676316713701</v>
      </c>
      <c r="H24" s="8" t="str">
        <f t="shared" si="0"/>
        <v>1999</v>
      </c>
      <c r="I24" s="1">
        <v>36331</v>
      </c>
      <c r="J24" t="s">
        <v>22</v>
      </c>
      <c r="K24" s="3" t="str">
        <f t="shared" si="1"/>
        <v>2025</v>
      </c>
      <c r="L24" s="1">
        <v>45836</v>
      </c>
      <c r="M24" s="2" t="str" cm="1">
        <f t="array" ref="M24">_xlfn.IFS(
N24&lt;500,"Very Low",
N24&lt;1500,"Low",
N24&lt;3000,"Medium",
N24&lt;4000,"High",
TRUE,"Very High"
)</f>
        <v>Low</v>
      </c>
      <c r="N24">
        <v>793</v>
      </c>
      <c r="O24" t="s">
        <v>194</v>
      </c>
      <c r="P24" t="s">
        <v>63</v>
      </c>
      <c r="Q24" t="s">
        <v>25</v>
      </c>
      <c r="R24">
        <v>588090</v>
      </c>
      <c r="S24" t="s">
        <v>26</v>
      </c>
    </row>
    <row r="25" spans="1:19" x14ac:dyDescent="0.3">
      <c r="A25" t="s">
        <v>195</v>
      </c>
      <c r="B25" t="s">
        <v>106</v>
      </c>
      <c r="C25" t="s">
        <v>100</v>
      </c>
      <c r="D25" t="s">
        <v>196</v>
      </c>
      <c r="E25" t="s">
        <v>197</v>
      </c>
      <c r="F25" t="s">
        <v>198</v>
      </c>
      <c r="G25">
        <v>502254847491</v>
      </c>
      <c r="H25" s="8" t="str">
        <f t="shared" si="0"/>
        <v>1978</v>
      </c>
      <c r="I25" s="1">
        <v>28682</v>
      </c>
      <c r="J25" t="s">
        <v>52</v>
      </c>
      <c r="K25" s="3" t="str">
        <f t="shared" si="1"/>
        <v>2018</v>
      </c>
      <c r="L25" s="1">
        <v>43222</v>
      </c>
      <c r="M25" s="2" t="str" cm="1">
        <f t="array" ref="M25">_xlfn.IFS(
N25&lt;500,"Very Low",
N25&lt;1500,"Low",
N25&lt;3000,"Medium",
N25&lt;4000,"High",
TRUE,"Very High"
)</f>
        <v>Low</v>
      </c>
      <c r="N25">
        <v>1370</v>
      </c>
      <c r="O25" t="s">
        <v>199</v>
      </c>
      <c r="P25" t="s">
        <v>44</v>
      </c>
      <c r="Q25" t="s">
        <v>200</v>
      </c>
      <c r="R25">
        <v>92979</v>
      </c>
      <c r="S25" t="s">
        <v>36</v>
      </c>
    </row>
    <row r="26" spans="1:19" x14ac:dyDescent="0.3">
      <c r="A26" t="s">
        <v>201</v>
      </c>
      <c r="B26" t="s">
        <v>176</v>
      </c>
      <c r="C26" t="s">
        <v>128</v>
      </c>
      <c r="D26" t="s">
        <v>177</v>
      </c>
      <c r="E26" t="s">
        <v>202</v>
      </c>
      <c r="F26" t="s">
        <v>203</v>
      </c>
      <c r="G26">
        <v>797466904159</v>
      </c>
      <c r="H26" s="8" t="str">
        <f t="shared" si="0"/>
        <v>1948</v>
      </c>
      <c r="I26" s="1">
        <v>17732</v>
      </c>
      <c r="J26" t="s">
        <v>22</v>
      </c>
      <c r="K26" s="3" t="str">
        <f t="shared" si="1"/>
        <v>2024</v>
      </c>
      <c r="L26" s="1">
        <v>45465</v>
      </c>
      <c r="M26" s="2" t="str" cm="1">
        <f t="array" ref="M26">_xlfn.IFS(
N26&lt;500,"Very Low",
N26&lt;1500,"Low",
N26&lt;3000,"Medium",
N26&lt;4000,"High",
TRUE,"Very High"
)</f>
        <v>Very Low</v>
      </c>
      <c r="N26">
        <v>45</v>
      </c>
      <c r="O26" t="s">
        <v>204</v>
      </c>
      <c r="P26" t="s">
        <v>111</v>
      </c>
      <c r="Q26" t="s">
        <v>205</v>
      </c>
      <c r="R26">
        <v>713889</v>
      </c>
      <c r="S26" t="s">
        <v>26</v>
      </c>
    </row>
    <row r="27" spans="1:19" x14ac:dyDescent="0.3">
      <c r="A27" t="s">
        <v>206</v>
      </c>
      <c r="B27" t="s">
        <v>56</v>
      </c>
      <c r="C27" t="s">
        <v>18</v>
      </c>
      <c r="D27" t="s">
        <v>207</v>
      </c>
      <c r="E27" t="s">
        <v>208</v>
      </c>
      <c r="F27" t="s">
        <v>209</v>
      </c>
      <c r="G27">
        <v>663426029575</v>
      </c>
      <c r="H27" s="8" t="str">
        <f t="shared" si="0"/>
        <v>2001</v>
      </c>
      <c r="I27" s="1">
        <v>36903</v>
      </c>
      <c r="J27" t="s">
        <v>22</v>
      </c>
      <c r="K27" s="3" t="str">
        <f t="shared" si="1"/>
        <v>2018</v>
      </c>
      <c r="L27" s="1">
        <v>43286</v>
      </c>
      <c r="M27" s="2" t="str" cm="1">
        <f t="array" ref="M27">_xlfn.IFS(
N27&lt;500,"Very Low",
N27&lt;1500,"Low",
N27&lt;3000,"Medium",
N27&lt;4000,"High",
TRUE,"Very High"
)</f>
        <v>Very Low</v>
      </c>
      <c r="N27">
        <v>137</v>
      </c>
      <c r="O27" t="s">
        <v>210</v>
      </c>
      <c r="P27" t="s">
        <v>211</v>
      </c>
      <c r="Q27" t="s">
        <v>212</v>
      </c>
      <c r="R27">
        <v>50814</v>
      </c>
      <c r="S27" t="s">
        <v>36</v>
      </c>
    </row>
    <row r="28" spans="1:19" x14ac:dyDescent="0.3">
      <c r="A28" t="s">
        <v>213</v>
      </c>
      <c r="B28" t="s">
        <v>176</v>
      </c>
      <c r="C28" t="s">
        <v>190</v>
      </c>
      <c r="D28" t="s">
        <v>214</v>
      </c>
      <c r="E28" t="s">
        <v>215</v>
      </c>
      <c r="F28" t="s">
        <v>216</v>
      </c>
      <c r="G28">
        <v>776723042947</v>
      </c>
      <c r="H28" s="8" t="str">
        <f t="shared" si="0"/>
        <v>2003</v>
      </c>
      <c r="I28" s="1">
        <v>37700</v>
      </c>
      <c r="J28" t="s">
        <v>22</v>
      </c>
      <c r="K28" s="3" t="str">
        <f t="shared" si="1"/>
        <v>2020</v>
      </c>
      <c r="L28" s="1">
        <v>43959</v>
      </c>
      <c r="M28" s="2" t="str" cm="1">
        <f t="array" ref="M28">_xlfn.IFS(
N28&lt;500,"Very Low",
N28&lt;1500,"Low",
N28&lt;3000,"Medium",
N28&lt;4000,"High",
TRUE,"Very High"
)</f>
        <v>Medium</v>
      </c>
      <c r="N28">
        <v>2599</v>
      </c>
      <c r="O28" t="s">
        <v>217</v>
      </c>
      <c r="P28" t="s">
        <v>89</v>
      </c>
      <c r="Q28" t="s">
        <v>73</v>
      </c>
      <c r="R28">
        <v>78486</v>
      </c>
      <c r="S28" t="s">
        <v>36</v>
      </c>
    </row>
    <row r="29" spans="1:19" x14ac:dyDescent="0.3">
      <c r="A29" t="s">
        <v>218</v>
      </c>
      <c r="B29" t="s">
        <v>219</v>
      </c>
      <c r="C29" t="s">
        <v>183</v>
      </c>
      <c r="D29" t="s">
        <v>220</v>
      </c>
      <c r="E29" t="s">
        <v>221</v>
      </c>
      <c r="F29" t="s">
        <v>222</v>
      </c>
      <c r="G29">
        <v>958027730524</v>
      </c>
      <c r="H29" s="8" t="str">
        <f t="shared" si="0"/>
        <v>1941</v>
      </c>
      <c r="I29" s="1">
        <v>15001</v>
      </c>
      <c r="J29" t="s">
        <v>52</v>
      </c>
      <c r="K29" s="3" t="str">
        <f t="shared" si="1"/>
        <v>2025</v>
      </c>
      <c r="L29" s="1">
        <v>45756</v>
      </c>
      <c r="M29" s="2" t="str" cm="1">
        <f t="array" ref="M29">_xlfn.IFS(
N29&lt;500,"Very Low",
N29&lt;1500,"Low",
N29&lt;3000,"Medium",
N29&lt;4000,"High",
TRUE,"Very High"
)</f>
        <v>Low</v>
      </c>
      <c r="N29">
        <v>980</v>
      </c>
      <c r="O29" t="s">
        <v>223</v>
      </c>
      <c r="P29" t="s">
        <v>80</v>
      </c>
      <c r="Q29" t="s">
        <v>112</v>
      </c>
      <c r="R29">
        <v>848816</v>
      </c>
      <c r="S29" t="s">
        <v>26</v>
      </c>
    </row>
    <row r="30" spans="1:19" x14ac:dyDescent="0.3">
      <c r="A30" t="s">
        <v>224</v>
      </c>
      <c r="B30" t="s">
        <v>127</v>
      </c>
      <c r="C30" t="s">
        <v>48</v>
      </c>
      <c r="D30" t="s">
        <v>225</v>
      </c>
      <c r="E30" t="s">
        <v>226</v>
      </c>
      <c r="F30" t="s">
        <v>227</v>
      </c>
      <c r="G30">
        <v>725825045661</v>
      </c>
      <c r="H30" s="8" t="str">
        <f t="shared" si="0"/>
        <v>1940</v>
      </c>
      <c r="I30" s="1">
        <v>14886</v>
      </c>
      <c r="J30" t="s">
        <v>52</v>
      </c>
      <c r="K30" s="3" t="str">
        <f t="shared" si="1"/>
        <v>2022</v>
      </c>
      <c r="L30" s="1">
        <v>44639</v>
      </c>
      <c r="M30" s="2" t="str" cm="1">
        <f t="array" ref="M30">_xlfn.IFS(
N30&lt;500,"Very Low",
N30&lt;1500,"Low",
N30&lt;3000,"Medium",
N30&lt;4000,"High",
TRUE,"Very High"
)</f>
        <v>Medium</v>
      </c>
      <c r="N30">
        <v>2382</v>
      </c>
      <c r="O30" t="s">
        <v>228</v>
      </c>
      <c r="P30" t="s">
        <v>167</v>
      </c>
      <c r="Q30" t="s">
        <v>35</v>
      </c>
      <c r="R30">
        <v>14104</v>
      </c>
      <c r="S30" t="s">
        <v>36</v>
      </c>
    </row>
    <row r="31" spans="1:19" x14ac:dyDescent="0.3">
      <c r="A31" t="s">
        <v>229</v>
      </c>
      <c r="B31" t="s">
        <v>154</v>
      </c>
      <c r="C31" t="s">
        <v>136</v>
      </c>
      <c r="D31" t="s">
        <v>230</v>
      </c>
      <c r="E31" t="s">
        <v>231</v>
      </c>
      <c r="F31" t="s">
        <v>232</v>
      </c>
      <c r="G31">
        <v>689090386073</v>
      </c>
      <c r="H31" s="8" t="str">
        <f t="shared" si="0"/>
        <v>1967</v>
      </c>
      <c r="I31" s="1">
        <v>24556</v>
      </c>
      <c r="J31" t="s">
        <v>22</v>
      </c>
      <c r="K31" s="3" t="str">
        <f t="shared" si="1"/>
        <v>2022</v>
      </c>
      <c r="L31" s="1">
        <v>44622</v>
      </c>
      <c r="M31" s="2" t="str" cm="1">
        <f t="array" ref="M31">_xlfn.IFS(
N31&lt;500,"Very Low",
N31&lt;1500,"Low",
N31&lt;3000,"Medium",
N31&lt;4000,"High",
TRUE,"Very High"
)</f>
        <v>Medium</v>
      </c>
      <c r="N31">
        <v>1610</v>
      </c>
      <c r="O31" t="s">
        <v>233</v>
      </c>
      <c r="P31" t="s">
        <v>111</v>
      </c>
      <c r="Q31" t="s">
        <v>64</v>
      </c>
      <c r="R31">
        <v>441332</v>
      </c>
      <c r="S31" t="s">
        <v>26</v>
      </c>
    </row>
    <row r="32" spans="1:19" x14ac:dyDescent="0.3">
      <c r="A32" t="s">
        <v>234</v>
      </c>
      <c r="B32" t="s">
        <v>235</v>
      </c>
      <c r="C32" t="s">
        <v>183</v>
      </c>
      <c r="D32" t="s">
        <v>236</v>
      </c>
      <c r="E32" t="s">
        <v>237</v>
      </c>
      <c r="F32" t="s">
        <v>238</v>
      </c>
      <c r="G32">
        <v>131962337580</v>
      </c>
      <c r="H32" s="8" t="str">
        <f t="shared" si="0"/>
        <v>1955</v>
      </c>
      <c r="I32" s="1">
        <v>20317</v>
      </c>
      <c r="J32" t="s">
        <v>22</v>
      </c>
      <c r="K32" s="3" t="str">
        <f t="shared" si="1"/>
        <v>2022</v>
      </c>
      <c r="L32" s="1">
        <v>44814</v>
      </c>
      <c r="M32" s="2" t="str" cm="1">
        <f t="array" ref="M32">_xlfn.IFS(
N32&lt;500,"Very Low",
N32&lt;1500,"Low",
N32&lt;3000,"Medium",
N32&lt;4000,"High",
TRUE,"Very High"
)</f>
        <v>Low</v>
      </c>
      <c r="N32">
        <v>1398</v>
      </c>
      <c r="O32" t="s">
        <v>239</v>
      </c>
      <c r="P32" t="s">
        <v>63</v>
      </c>
      <c r="Q32" t="s">
        <v>97</v>
      </c>
      <c r="R32">
        <v>989796</v>
      </c>
      <c r="S32" t="s">
        <v>26</v>
      </c>
    </row>
    <row r="33" spans="1:19" x14ac:dyDescent="0.3">
      <c r="A33" t="s">
        <v>240</v>
      </c>
      <c r="B33" t="s">
        <v>241</v>
      </c>
      <c r="C33" t="s">
        <v>39</v>
      </c>
      <c r="D33" t="s">
        <v>242</v>
      </c>
      <c r="E33" t="s">
        <v>243</v>
      </c>
      <c r="F33" t="s">
        <v>244</v>
      </c>
      <c r="G33">
        <v>843422506181</v>
      </c>
      <c r="H33" s="8" t="str">
        <f t="shared" si="0"/>
        <v>1990</v>
      </c>
      <c r="I33" s="1">
        <v>32985</v>
      </c>
      <c r="J33" t="s">
        <v>52</v>
      </c>
      <c r="K33" s="3" t="str">
        <f t="shared" si="1"/>
        <v>2023</v>
      </c>
      <c r="L33" s="1">
        <v>44933</v>
      </c>
      <c r="M33" s="2" t="str" cm="1">
        <f t="array" ref="M33">_xlfn.IFS(
N33&lt;500,"Very Low",
N33&lt;1500,"Low",
N33&lt;3000,"Medium",
N33&lt;4000,"High",
TRUE,"Very High"
)</f>
        <v>Very Low</v>
      </c>
      <c r="N33">
        <v>257</v>
      </c>
      <c r="O33" t="s">
        <v>245</v>
      </c>
      <c r="P33" t="s">
        <v>24</v>
      </c>
      <c r="Q33" t="s">
        <v>81</v>
      </c>
      <c r="R33">
        <v>787950</v>
      </c>
      <c r="S33" t="s">
        <v>26</v>
      </c>
    </row>
    <row r="34" spans="1:19" x14ac:dyDescent="0.3">
      <c r="A34" t="s">
        <v>246</v>
      </c>
      <c r="B34" t="s">
        <v>176</v>
      </c>
      <c r="C34" t="s">
        <v>115</v>
      </c>
      <c r="D34" t="s">
        <v>247</v>
      </c>
      <c r="E34" t="s">
        <v>248</v>
      </c>
      <c r="F34" t="s">
        <v>249</v>
      </c>
      <c r="G34">
        <v>981443767933</v>
      </c>
      <c r="H34" s="8" t="str">
        <f t="shared" si="0"/>
        <v>1997</v>
      </c>
      <c r="I34" s="1">
        <v>35566</v>
      </c>
      <c r="J34" t="s">
        <v>52</v>
      </c>
      <c r="K34" s="3" t="str">
        <f t="shared" si="1"/>
        <v>2025</v>
      </c>
      <c r="L34" s="1">
        <v>45934</v>
      </c>
      <c r="M34" s="2" t="str" cm="1">
        <f t="array" ref="M34">_xlfn.IFS(
N34&lt;500,"Very Low",
N34&lt;1500,"Low",
N34&lt;3000,"Medium",
N34&lt;4000,"High",
TRUE,"Very High"
)</f>
        <v>High</v>
      </c>
      <c r="N34">
        <v>3021</v>
      </c>
      <c r="O34" t="s">
        <v>250</v>
      </c>
      <c r="P34" t="s">
        <v>54</v>
      </c>
      <c r="Q34" t="s">
        <v>25</v>
      </c>
      <c r="R34">
        <v>604923</v>
      </c>
      <c r="S34" t="s">
        <v>26</v>
      </c>
    </row>
    <row r="35" spans="1:19" x14ac:dyDescent="0.3">
      <c r="A35" t="s">
        <v>251</v>
      </c>
      <c r="B35" t="s">
        <v>252</v>
      </c>
      <c r="C35" t="s">
        <v>253</v>
      </c>
      <c r="D35" t="s">
        <v>254</v>
      </c>
      <c r="E35" t="s">
        <v>255</v>
      </c>
      <c r="F35" t="s">
        <v>256</v>
      </c>
      <c r="G35">
        <v>551474496995</v>
      </c>
      <c r="H35" s="8" t="str">
        <f t="shared" si="0"/>
        <v>1990</v>
      </c>
      <c r="I35" s="1">
        <v>32931</v>
      </c>
      <c r="J35" t="s">
        <v>22</v>
      </c>
      <c r="K35" s="3" t="str">
        <f t="shared" si="1"/>
        <v>2022</v>
      </c>
      <c r="L35" s="1">
        <v>44851</v>
      </c>
      <c r="M35" s="2" t="str" cm="1">
        <f t="array" ref="M35">_xlfn.IFS(
N35&lt;500,"Very Low",
N35&lt;1500,"Low",
N35&lt;3000,"Medium",
N35&lt;4000,"High",
TRUE,"Very High"
)</f>
        <v>Low</v>
      </c>
      <c r="N35">
        <v>1466</v>
      </c>
      <c r="O35" t="s">
        <v>257</v>
      </c>
      <c r="P35" t="s">
        <v>54</v>
      </c>
      <c r="Q35" t="s">
        <v>97</v>
      </c>
      <c r="R35">
        <v>464355</v>
      </c>
      <c r="S35" t="s">
        <v>26</v>
      </c>
    </row>
    <row r="36" spans="1:19" x14ac:dyDescent="0.3">
      <c r="A36" t="s">
        <v>258</v>
      </c>
      <c r="B36" t="s">
        <v>259</v>
      </c>
      <c r="C36" t="s">
        <v>183</v>
      </c>
      <c r="D36" t="s">
        <v>260</v>
      </c>
      <c r="E36" t="s">
        <v>261</v>
      </c>
      <c r="F36" t="s">
        <v>262</v>
      </c>
      <c r="G36">
        <v>474988755604</v>
      </c>
      <c r="H36" s="8" t="str">
        <f t="shared" si="0"/>
        <v>1964</v>
      </c>
      <c r="I36" s="1">
        <v>23590</v>
      </c>
      <c r="J36" t="s">
        <v>52</v>
      </c>
      <c r="K36" s="3" t="str">
        <f t="shared" si="1"/>
        <v>2023</v>
      </c>
      <c r="L36" s="1">
        <v>45192</v>
      </c>
      <c r="M36" s="2" t="str" cm="1">
        <f t="array" ref="M36">_xlfn.IFS(
N36&lt;500,"Very Low",
N36&lt;1500,"Low",
N36&lt;3000,"Medium",
N36&lt;4000,"High",
TRUE,"Very High"
)</f>
        <v>Very High</v>
      </c>
      <c r="N36">
        <v>4226</v>
      </c>
      <c r="O36" t="s">
        <v>263</v>
      </c>
      <c r="P36" t="s">
        <v>133</v>
      </c>
      <c r="Q36" t="s">
        <v>167</v>
      </c>
      <c r="R36">
        <v>56572</v>
      </c>
      <c r="S36" t="s">
        <v>36</v>
      </c>
    </row>
    <row r="37" spans="1:19" x14ac:dyDescent="0.3">
      <c r="A37" t="s">
        <v>264</v>
      </c>
      <c r="B37" t="s">
        <v>241</v>
      </c>
      <c r="C37" t="s">
        <v>57</v>
      </c>
      <c r="D37" t="s">
        <v>265</v>
      </c>
      <c r="E37" t="s">
        <v>266</v>
      </c>
      <c r="F37" t="s">
        <v>267</v>
      </c>
      <c r="G37">
        <v>765926066289</v>
      </c>
      <c r="H37" s="8" t="str">
        <f t="shared" si="0"/>
        <v>1942</v>
      </c>
      <c r="I37" s="1">
        <v>15706</v>
      </c>
      <c r="J37" t="s">
        <v>52</v>
      </c>
      <c r="K37" s="3" t="str">
        <f t="shared" si="1"/>
        <v>2018</v>
      </c>
      <c r="L37" s="1">
        <v>43389</v>
      </c>
      <c r="M37" s="2" t="str" cm="1">
        <f t="array" ref="M37">_xlfn.IFS(
N37&lt;500,"Very Low",
N37&lt;1500,"Low",
N37&lt;3000,"Medium",
N37&lt;4000,"High",
TRUE,"Very High"
)</f>
        <v>High</v>
      </c>
      <c r="N37">
        <v>3521</v>
      </c>
      <c r="O37" t="s">
        <v>268</v>
      </c>
      <c r="P37" t="s">
        <v>112</v>
      </c>
      <c r="Q37" t="s">
        <v>97</v>
      </c>
      <c r="R37">
        <v>807477</v>
      </c>
      <c r="S37" t="s">
        <v>26</v>
      </c>
    </row>
    <row r="38" spans="1:19" x14ac:dyDescent="0.3">
      <c r="A38" t="s">
        <v>269</v>
      </c>
      <c r="B38" t="s">
        <v>270</v>
      </c>
      <c r="C38" t="s">
        <v>18</v>
      </c>
      <c r="D38" t="s">
        <v>271</v>
      </c>
      <c r="E38" t="s">
        <v>272</v>
      </c>
      <c r="F38" t="s">
        <v>273</v>
      </c>
      <c r="G38">
        <v>497401199544</v>
      </c>
      <c r="H38" s="8" t="str">
        <f t="shared" si="0"/>
        <v>1944</v>
      </c>
      <c r="I38" s="1">
        <v>16216</v>
      </c>
      <c r="J38" t="s">
        <v>61</v>
      </c>
      <c r="K38" s="3" t="str">
        <f t="shared" si="1"/>
        <v>2019</v>
      </c>
      <c r="L38" s="1">
        <v>43563</v>
      </c>
      <c r="M38" s="2" t="str" cm="1">
        <f t="array" ref="M38">_xlfn.IFS(
N38&lt;500,"Very Low",
N38&lt;1500,"Low",
N38&lt;3000,"Medium",
N38&lt;4000,"High",
TRUE,"Very High"
)</f>
        <v>Medium</v>
      </c>
      <c r="N38">
        <v>1544</v>
      </c>
      <c r="O38" t="s">
        <v>274</v>
      </c>
      <c r="P38" t="s">
        <v>89</v>
      </c>
      <c r="Q38" t="s">
        <v>35</v>
      </c>
      <c r="R38">
        <v>55628</v>
      </c>
      <c r="S38" t="s">
        <v>36</v>
      </c>
    </row>
    <row r="39" spans="1:19" x14ac:dyDescent="0.3">
      <c r="A39" t="s">
        <v>275</v>
      </c>
      <c r="B39" t="s">
        <v>28</v>
      </c>
      <c r="C39" t="s">
        <v>48</v>
      </c>
      <c r="D39" t="s">
        <v>276</v>
      </c>
      <c r="E39" t="s">
        <v>277</v>
      </c>
      <c r="F39" t="s">
        <v>278</v>
      </c>
      <c r="G39">
        <v>307445089056</v>
      </c>
      <c r="H39" s="8" t="str">
        <f t="shared" si="0"/>
        <v>1972</v>
      </c>
      <c r="I39" s="1">
        <v>26547</v>
      </c>
      <c r="J39" t="s">
        <v>22</v>
      </c>
      <c r="K39" s="3" t="str">
        <f t="shared" si="1"/>
        <v>2018</v>
      </c>
      <c r="L39" s="1">
        <v>43323</v>
      </c>
      <c r="M39" s="2" t="str" cm="1">
        <f t="array" ref="M39">_xlfn.IFS(
N39&lt;500,"Very Low",
N39&lt;1500,"Low",
N39&lt;3000,"Medium",
N39&lt;4000,"High",
TRUE,"Very High"
)</f>
        <v>Very Low</v>
      </c>
      <c r="N39">
        <v>334</v>
      </c>
      <c r="O39" t="s">
        <v>279</v>
      </c>
      <c r="P39" t="s">
        <v>211</v>
      </c>
      <c r="Q39" t="s">
        <v>200</v>
      </c>
      <c r="R39">
        <v>94683</v>
      </c>
      <c r="S39" t="s">
        <v>36</v>
      </c>
    </row>
    <row r="40" spans="1:19" x14ac:dyDescent="0.3">
      <c r="A40" t="s">
        <v>280</v>
      </c>
      <c r="B40" t="s">
        <v>154</v>
      </c>
      <c r="C40" t="s">
        <v>92</v>
      </c>
      <c r="D40" t="s">
        <v>281</v>
      </c>
      <c r="E40" t="s">
        <v>282</v>
      </c>
      <c r="F40" t="s">
        <v>283</v>
      </c>
      <c r="G40">
        <v>436013025402</v>
      </c>
      <c r="H40" s="8" t="str">
        <f t="shared" si="0"/>
        <v>1956</v>
      </c>
      <c r="I40" s="1">
        <v>20543</v>
      </c>
      <c r="J40" t="s">
        <v>52</v>
      </c>
      <c r="K40" s="3" t="str">
        <f t="shared" si="1"/>
        <v>2023</v>
      </c>
      <c r="L40" s="1">
        <v>45106</v>
      </c>
      <c r="M40" s="2" t="str" cm="1">
        <f t="array" ref="M40">_xlfn.IFS(
N40&lt;500,"Very Low",
N40&lt;1500,"Low",
N40&lt;3000,"Medium",
N40&lt;4000,"High",
TRUE,"Very High"
)</f>
        <v>Medium</v>
      </c>
      <c r="N40">
        <v>2865</v>
      </c>
      <c r="O40" t="s">
        <v>284</v>
      </c>
      <c r="P40" t="s">
        <v>285</v>
      </c>
      <c r="Q40" t="s">
        <v>64</v>
      </c>
      <c r="R40">
        <v>679706</v>
      </c>
      <c r="S40" t="s">
        <v>26</v>
      </c>
    </row>
    <row r="41" spans="1:19" x14ac:dyDescent="0.3">
      <c r="A41" t="s">
        <v>286</v>
      </c>
      <c r="B41" t="s">
        <v>235</v>
      </c>
      <c r="C41" t="s">
        <v>287</v>
      </c>
      <c r="D41" t="s">
        <v>288</v>
      </c>
      <c r="E41" t="s">
        <v>289</v>
      </c>
      <c r="F41" t="s">
        <v>290</v>
      </c>
      <c r="G41">
        <v>697475873052</v>
      </c>
      <c r="H41" s="8" t="str">
        <f t="shared" si="0"/>
        <v>1957</v>
      </c>
      <c r="I41" s="1">
        <v>20965</v>
      </c>
      <c r="J41" t="s">
        <v>61</v>
      </c>
      <c r="K41" s="3" t="str">
        <f t="shared" si="1"/>
        <v>2025</v>
      </c>
      <c r="L41" s="1">
        <v>45920</v>
      </c>
      <c r="M41" s="2" t="str" cm="1">
        <f t="array" ref="M41">_xlfn.IFS(
N41&lt;500,"Very Low",
N41&lt;1500,"Low",
N41&lt;3000,"Medium",
N41&lt;4000,"High",
TRUE,"Very High"
)</f>
        <v>Very High</v>
      </c>
      <c r="N41">
        <v>4678</v>
      </c>
      <c r="O41" t="s">
        <v>291</v>
      </c>
      <c r="P41" t="s">
        <v>54</v>
      </c>
      <c r="Q41" t="s">
        <v>64</v>
      </c>
      <c r="R41">
        <v>289782</v>
      </c>
      <c r="S41" t="s">
        <v>26</v>
      </c>
    </row>
    <row r="42" spans="1:19" x14ac:dyDescent="0.3">
      <c r="A42" t="s">
        <v>292</v>
      </c>
      <c r="B42" t="s">
        <v>135</v>
      </c>
      <c r="C42" t="s">
        <v>100</v>
      </c>
      <c r="D42" t="s">
        <v>293</v>
      </c>
      <c r="E42" t="s">
        <v>294</v>
      </c>
      <c r="F42" t="s">
        <v>295</v>
      </c>
      <c r="G42">
        <v>279827703979</v>
      </c>
      <c r="H42" s="8" t="str">
        <f t="shared" si="0"/>
        <v>1960</v>
      </c>
      <c r="I42" s="1">
        <v>22031</v>
      </c>
      <c r="J42" t="s">
        <v>22</v>
      </c>
      <c r="K42" s="3" t="str">
        <f t="shared" si="1"/>
        <v>2018</v>
      </c>
      <c r="L42" s="1">
        <v>43357</v>
      </c>
      <c r="M42" s="2" t="str" cm="1">
        <f t="array" ref="M42">_xlfn.IFS(
N42&lt;500,"Very Low",
N42&lt;1500,"Low",
N42&lt;3000,"Medium",
N42&lt;4000,"High",
TRUE,"Very High"
)</f>
        <v>High</v>
      </c>
      <c r="N42">
        <v>3678</v>
      </c>
      <c r="O42" t="s">
        <v>296</v>
      </c>
      <c r="P42" t="s">
        <v>54</v>
      </c>
      <c r="Q42" t="s">
        <v>97</v>
      </c>
      <c r="R42">
        <v>768268</v>
      </c>
      <c r="S42" t="s">
        <v>26</v>
      </c>
    </row>
    <row r="43" spans="1:19" x14ac:dyDescent="0.3">
      <c r="A43" t="s">
        <v>297</v>
      </c>
      <c r="B43" t="s">
        <v>252</v>
      </c>
      <c r="C43" t="s">
        <v>75</v>
      </c>
      <c r="D43" t="s">
        <v>298</v>
      </c>
      <c r="E43" t="s">
        <v>299</v>
      </c>
      <c r="F43" t="s">
        <v>300</v>
      </c>
      <c r="G43">
        <v>799463902053</v>
      </c>
      <c r="H43" s="8" t="str">
        <f t="shared" si="0"/>
        <v>1974</v>
      </c>
      <c r="I43" s="1">
        <v>27211</v>
      </c>
      <c r="J43" t="s">
        <v>61</v>
      </c>
      <c r="K43" s="3" t="str">
        <f t="shared" si="1"/>
        <v>2019</v>
      </c>
      <c r="L43" s="1">
        <v>43735</v>
      </c>
      <c r="M43" s="2" t="str" cm="1">
        <f t="array" ref="M43">_xlfn.IFS(
N43&lt;500,"Very Low",
N43&lt;1500,"Low",
N43&lt;3000,"Medium",
N43&lt;4000,"High",
TRUE,"Very High"
)</f>
        <v>Low</v>
      </c>
      <c r="N43">
        <v>596</v>
      </c>
      <c r="O43" t="s">
        <v>301</v>
      </c>
      <c r="P43" t="s">
        <v>302</v>
      </c>
      <c r="Q43" t="s">
        <v>120</v>
      </c>
      <c r="R43">
        <v>200985</v>
      </c>
      <c r="S43" t="s">
        <v>26</v>
      </c>
    </row>
    <row r="44" spans="1:19" x14ac:dyDescent="0.3">
      <c r="A44" t="s">
        <v>303</v>
      </c>
      <c r="B44" t="s">
        <v>99</v>
      </c>
      <c r="C44" t="s">
        <v>183</v>
      </c>
      <c r="D44" t="s">
        <v>304</v>
      </c>
      <c r="E44" t="s">
        <v>305</v>
      </c>
      <c r="F44" t="s">
        <v>306</v>
      </c>
      <c r="G44">
        <v>740561576067</v>
      </c>
      <c r="H44" s="8" t="str">
        <f t="shared" si="0"/>
        <v>1993</v>
      </c>
      <c r="I44" s="1">
        <v>34095</v>
      </c>
      <c r="J44" t="s">
        <v>22</v>
      </c>
      <c r="K44" s="3" t="str">
        <f t="shared" si="1"/>
        <v>2020</v>
      </c>
      <c r="L44" s="1">
        <v>43872</v>
      </c>
      <c r="M44" s="2" t="str" cm="1">
        <f t="array" ref="M44">_xlfn.IFS(
N44&lt;500,"Very Low",
N44&lt;1500,"Low",
N44&lt;3000,"Medium",
N44&lt;4000,"High",
TRUE,"Very High"
)</f>
        <v>High</v>
      </c>
      <c r="N44">
        <v>3493</v>
      </c>
      <c r="O44" t="s">
        <v>307</v>
      </c>
      <c r="P44" t="s">
        <v>174</v>
      </c>
      <c r="Q44" t="s">
        <v>35</v>
      </c>
      <c r="R44">
        <v>92401</v>
      </c>
      <c r="S44" t="s">
        <v>36</v>
      </c>
    </row>
    <row r="45" spans="1:19" x14ac:dyDescent="0.3">
      <c r="A45" t="s">
        <v>308</v>
      </c>
      <c r="B45" t="s">
        <v>38</v>
      </c>
      <c r="C45" t="s">
        <v>57</v>
      </c>
      <c r="D45" t="s">
        <v>309</v>
      </c>
      <c r="E45" t="s">
        <v>310</v>
      </c>
      <c r="F45" t="s">
        <v>311</v>
      </c>
      <c r="G45">
        <v>486821702210</v>
      </c>
      <c r="H45" s="8" t="str">
        <f t="shared" si="0"/>
        <v>1962</v>
      </c>
      <c r="I45" s="1">
        <v>22895</v>
      </c>
      <c r="J45" t="s">
        <v>22</v>
      </c>
      <c r="K45" s="3" t="str">
        <f t="shared" si="1"/>
        <v>2018</v>
      </c>
      <c r="L45" s="1">
        <v>43342</v>
      </c>
      <c r="M45" s="2" t="str" cm="1">
        <f t="array" ref="M45">_xlfn.IFS(
N45&lt;500,"Very Low",
N45&lt;1500,"Low",
N45&lt;3000,"Medium",
N45&lt;4000,"High",
TRUE,"Very High"
)</f>
        <v>High</v>
      </c>
      <c r="N45">
        <v>3374</v>
      </c>
      <c r="O45" t="s">
        <v>312</v>
      </c>
      <c r="P45" t="s">
        <v>54</v>
      </c>
      <c r="Q45" t="s">
        <v>64</v>
      </c>
      <c r="R45">
        <v>470360</v>
      </c>
      <c r="S45" t="s">
        <v>26</v>
      </c>
    </row>
    <row r="46" spans="1:19" x14ac:dyDescent="0.3">
      <c r="A46" t="s">
        <v>313</v>
      </c>
      <c r="B46" t="s">
        <v>219</v>
      </c>
      <c r="C46" t="s">
        <v>190</v>
      </c>
      <c r="D46" t="s">
        <v>314</v>
      </c>
      <c r="E46" t="s">
        <v>315</v>
      </c>
      <c r="F46" t="s">
        <v>316</v>
      </c>
      <c r="G46">
        <v>924381404478</v>
      </c>
      <c r="H46" s="8" t="str">
        <f t="shared" si="0"/>
        <v>1948</v>
      </c>
      <c r="I46" s="1">
        <v>17797</v>
      </c>
      <c r="J46" t="s">
        <v>52</v>
      </c>
      <c r="K46" s="3" t="str">
        <f t="shared" si="1"/>
        <v>2025</v>
      </c>
      <c r="L46" s="1">
        <v>45971</v>
      </c>
      <c r="M46" s="2" t="str" cm="1">
        <f t="array" ref="M46">_xlfn.IFS(
N46&lt;500,"Very Low",
N46&lt;1500,"Low",
N46&lt;3000,"Medium",
N46&lt;4000,"High",
TRUE,"Very High"
)</f>
        <v>Very Low</v>
      </c>
      <c r="N46">
        <v>132</v>
      </c>
      <c r="O46" t="s">
        <v>317</v>
      </c>
      <c r="P46" t="s">
        <v>44</v>
      </c>
      <c r="Q46" t="s">
        <v>73</v>
      </c>
      <c r="R46">
        <v>89204</v>
      </c>
      <c r="S46" t="s">
        <v>36</v>
      </c>
    </row>
    <row r="47" spans="1:19" x14ac:dyDescent="0.3">
      <c r="A47" t="s">
        <v>318</v>
      </c>
      <c r="B47" t="s">
        <v>169</v>
      </c>
      <c r="C47" t="s">
        <v>39</v>
      </c>
      <c r="D47" t="s">
        <v>170</v>
      </c>
      <c r="E47" t="s">
        <v>319</v>
      </c>
      <c r="F47" t="s">
        <v>320</v>
      </c>
      <c r="G47">
        <v>775891990237</v>
      </c>
      <c r="H47" s="8" t="str">
        <f t="shared" si="0"/>
        <v>1970</v>
      </c>
      <c r="I47" s="1">
        <v>25825</v>
      </c>
      <c r="J47" t="s">
        <v>22</v>
      </c>
      <c r="K47" s="3" t="str">
        <f t="shared" si="1"/>
        <v>2020</v>
      </c>
      <c r="L47" s="1">
        <v>44023</v>
      </c>
      <c r="M47" s="2" t="str" cm="1">
        <f t="array" ref="M47">_xlfn.IFS(
N47&lt;500,"Very Low",
N47&lt;1500,"Low",
N47&lt;3000,"Medium",
N47&lt;4000,"High",
TRUE,"Very High"
)</f>
        <v>Very Low</v>
      </c>
      <c r="N47">
        <v>137</v>
      </c>
      <c r="O47" t="s">
        <v>321</v>
      </c>
      <c r="P47" t="s">
        <v>112</v>
      </c>
      <c r="Q47" t="s">
        <v>120</v>
      </c>
      <c r="R47">
        <v>754213</v>
      </c>
      <c r="S47" t="s">
        <v>26</v>
      </c>
    </row>
    <row r="48" spans="1:19" x14ac:dyDescent="0.3">
      <c r="A48" t="s">
        <v>322</v>
      </c>
      <c r="B48" t="s">
        <v>56</v>
      </c>
      <c r="C48" t="s">
        <v>84</v>
      </c>
      <c r="D48" t="s">
        <v>323</v>
      </c>
      <c r="E48" t="s">
        <v>324</v>
      </c>
      <c r="F48" t="s">
        <v>325</v>
      </c>
      <c r="G48">
        <v>654999810946</v>
      </c>
      <c r="H48" s="8" t="str">
        <f t="shared" si="0"/>
        <v>1987</v>
      </c>
      <c r="I48" s="1">
        <v>31865</v>
      </c>
      <c r="J48" t="s">
        <v>22</v>
      </c>
      <c r="K48" s="3" t="str">
        <f t="shared" si="1"/>
        <v>2018</v>
      </c>
      <c r="L48" s="1">
        <v>43156</v>
      </c>
      <c r="M48" s="2" t="str" cm="1">
        <f t="array" ref="M48">_xlfn.IFS(
N48&lt;500,"Very Low",
N48&lt;1500,"Low",
N48&lt;3000,"Medium",
N48&lt;4000,"High",
TRUE,"Very High"
)</f>
        <v>Very Low</v>
      </c>
      <c r="N48">
        <v>386</v>
      </c>
      <c r="O48" t="s">
        <v>326</v>
      </c>
      <c r="P48" t="s">
        <v>112</v>
      </c>
      <c r="Q48" t="s">
        <v>97</v>
      </c>
      <c r="R48">
        <v>969253</v>
      </c>
      <c r="S48" t="s">
        <v>26</v>
      </c>
    </row>
    <row r="49" spans="1:19" x14ac:dyDescent="0.3">
      <c r="A49" t="s">
        <v>327</v>
      </c>
      <c r="B49" t="s">
        <v>91</v>
      </c>
      <c r="C49" t="s">
        <v>84</v>
      </c>
      <c r="D49" t="s">
        <v>328</v>
      </c>
      <c r="E49" t="s">
        <v>329</v>
      </c>
      <c r="F49" t="s">
        <v>330</v>
      </c>
      <c r="G49">
        <v>631787213013</v>
      </c>
      <c r="H49" s="8" t="str">
        <f t="shared" si="0"/>
        <v>1978</v>
      </c>
      <c r="I49" s="1">
        <v>28569</v>
      </c>
      <c r="J49" t="s">
        <v>52</v>
      </c>
      <c r="K49" s="3" t="str">
        <f t="shared" si="1"/>
        <v>2019</v>
      </c>
      <c r="L49" s="1">
        <v>43822</v>
      </c>
      <c r="M49" s="2" t="str" cm="1">
        <f t="array" ref="M49">_xlfn.IFS(
N49&lt;500,"Very Low",
N49&lt;1500,"Low",
N49&lt;3000,"Medium",
N49&lt;4000,"High",
TRUE,"Very High"
)</f>
        <v>Medium</v>
      </c>
      <c r="N49">
        <v>1874</v>
      </c>
      <c r="O49" t="s">
        <v>331</v>
      </c>
      <c r="P49" t="s">
        <v>111</v>
      </c>
      <c r="Q49" t="s">
        <v>112</v>
      </c>
      <c r="R49">
        <v>769090</v>
      </c>
      <c r="S49" t="s">
        <v>26</v>
      </c>
    </row>
    <row r="50" spans="1:19" x14ac:dyDescent="0.3">
      <c r="A50" t="s">
        <v>332</v>
      </c>
      <c r="B50" t="s">
        <v>83</v>
      </c>
      <c r="C50" t="s">
        <v>183</v>
      </c>
      <c r="D50" t="s">
        <v>333</v>
      </c>
      <c r="E50" t="s">
        <v>334</v>
      </c>
      <c r="F50" t="s">
        <v>335</v>
      </c>
      <c r="G50">
        <v>978938644493</v>
      </c>
      <c r="H50" s="8" t="str">
        <f t="shared" si="0"/>
        <v>1981</v>
      </c>
      <c r="I50" s="1">
        <v>29893</v>
      </c>
      <c r="J50" t="s">
        <v>61</v>
      </c>
      <c r="K50" s="3" t="str">
        <f t="shared" si="1"/>
        <v>2022</v>
      </c>
      <c r="L50" s="1">
        <v>44779</v>
      </c>
      <c r="M50" s="2" t="str" cm="1">
        <f t="array" ref="M50">_xlfn.IFS(
N50&lt;500,"Very Low",
N50&lt;1500,"Low",
N50&lt;3000,"Medium",
N50&lt;4000,"High",
TRUE,"Very High"
)</f>
        <v>Very High</v>
      </c>
      <c r="N50">
        <v>4614</v>
      </c>
      <c r="O50" t="s">
        <v>336</v>
      </c>
      <c r="P50" t="s">
        <v>302</v>
      </c>
      <c r="Q50" t="s">
        <v>337</v>
      </c>
      <c r="R50">
        <v>965858</v>
      </c>
      <c r="S50" t="s">
        <v>26</v>
      </c>
    </row>
    <row r="51" spans="1:19" x14ac:dyDescent="0.3">
      <c r="A51" t="s">
        <v>338</v>
      </c>
      <c r="B51" t="s">
        <v>99</v>
      </c>
      <c r="C51" t="s">
        <v>100</v>
      </c>
      <c r="D51" t="s">
        <v>101</v>
      </c>
      <c r="E51" t="s">
        <v>102</v>
      </c>
      <c r="F51" t="s">
        <v>339</v>
      </c>
      <c r="G51">
        <v>354552856750</v>
      </c>
      <c r="H51" s="8" t="str">
        <f t="shared" si="0"/>
        <v>1979</v>
      </c>
      <c r="I51" s="1">
        <v>28944</v>
      </c>
      <c r="J51" t="s">
        <v>61</v>
      </c>
      <c r="K51" s="3" t="str">
        <f t="shared" si="1"/>
        <v>2022</v>
      </c>
      <c r="L51" s="1">
        <v>44576</v>
      </c>
      <c r="M51" s="2" t="str" cm="1">
        <f t="array" ref="M51">_xlfn.IFS(
N51&lt;500,"Very Low",
N51&lt;1500,"Low",
N51&lt;3000,"Medium",
N51&lt;4000,"High",
TRUE,"Very High"
)</f>
        <v>Very High</v>
      </c>
      <c r="N51">
        <v>4828</v>
      </c>
      <c r="O51" t="s">
        <v>340</v>
      </c>
      <c r="P51" t="s">
        <v>72</v>
      </c>
      <c r="Q51" t="s">
        <v>35</v>
      </c>
      <c r="R51">
        <v>86389</v>
      </c>
      <c r="S51" t="s">
        <v>36</v>
      </c>
    </row>
    <row r="52" spans="1:19" x14ac:dyDescent="0.3">
      <c r="A52" t="s">
        <v>341</v>
      </c>
      <c r="B52" t="s">
        <v>342</v>
      </c>
      <c r="C52" t="s">
        <v>136</v>
      </c>
      <c r="D52" t="s">
        <v>343</v>
      </c>
      <c r="E52" t="s">
        <v>344</v>
      </c>
      <c r="F52" t="s">
        <v>345</v>
      </c>
      <c r="G52">
        <v>660020005219</v>
      </c>
      <c r="H52" s="8" t="str">
        <f t="shared" si="0"/>
        <v>2003</v>
      </c>
      <c r="I52" s="1">
        <v>37699</v>
      </c>
      <c r="J52" t="s">
        <v>22</v>
      </c>
      <c r="K52" s="3" t="str">
        <f t="shared" si="1"/>
        <v>2019</v>
      </c>
      <c r="L52" s="1">
        <v>43806</v>
      </c>
      <c r="M52" s="2" t="str" cm="1">
        <f t="array" ref="M52">_xlfn.IFS(
N52&lt;500,"Very Low",
N52&lt;1500,"Low",
N52&lt;3000,"Medium",
N52&lt;4000,"High",
TRUE,"Very High"
)</f>
        <v>Low</v>
      </c>
      <c r="N52">
        <v>1041</v>
      </c>
      <c r="O52" t="s">
        <v>346</v>
      </c>
      <c r="P52" t="s">
        <v>112</v>
      </c>
      <c r="Q52" t="s">
        <v>64</v>
      </c>
      <c r="R52">
        <v>276824</v>
      </c>
      <c r="S52" t="s">
        <v>26</v>
      </c>
    </row>
    <row r="53" spans="1:19" x14ac:dyDescent="0.3">
      <c r="A53" t="s">
        <v>347</v>
      </c>
      <c r="B53" t="s">
        <v>106</v>
      </c>
      <c r="C53" t="s">
        <v>18</v>
      </c>
      <c r="D53" t="s">
        <v>348</v>
      </c>
      <c r="E53" t="s">
        <v>349</v>
      </c>
      <c r="F53" t="s">
        <v>350</v>
      </c>
      <c r="G53">
        <v>998821711038</v>
      </c>
      <c r="H53" s="8" t="str">
        <f t="shared" si="0"/>
        <v>1989</v>
      </c>
      <c r="I53" s="1">
        <v>32806</v>
      </c>
      <c r="J53" t="s">
        <v>52</v>
      </c>
      <c r="K53" s="3" t="str">
        <f t="shared" si="1"/>
        <v>2021</v>
      </c>
      <c r="L53" s="1">
        <v>44309</v>
      </c>
      <c r="M53" s="2" t="str" cm="1">
        <f t="array" ref="M53">_xlfn.IFS(
N53&lt;500,"Very Low",
N53&lt;1500,"Low",
N53&lt;3000,"Medium",
N53&lt;4000,"High",
TRUE,"Very High"
)</f>
        <v>Very Low</v>
      </c>
      <c r="N53">
        <v>75</v>
      </c>
      <c r="O53" t="s">
        <v>351</v>
      </c>
      <c r="P53" t="s">
        <v>285</v>
      </c>
      <c r="Q53" t="s">
        <v>112</v>
      </c>
      <c r="R53">
        <v>325160</v>
      </c>
      <c r="S53" t="s">
        <v>26</v>
      </c>
    </row>
    <row r="54" spans="1:19" x14ac:dyDescent="0.3">
      <c r="A54" t="s">
        <v>352</v>
      </c>
      <c r="B54" t="s">
        <v>17</v>
      </c>
      <c r="C54" t="s">
        <v>39</v>
      </c>
      <c r="D54" t="s">
        <v>149</v>
      </c>
      <c r="E54" t="s">
        <v>353</v>
      </c>
      <c r="F54" t="s">
        <v>354</v>
      </c>
      <c r="G54">
        <v>974825649881</v>
      </c>
      <c r="H54" s="8" t="str">
        <f t="shared" si="0"/>
        <v>1969</v>
      </c>
      <c r="I54" s="1">
        <v>25351</v>
      </c>
      <c r="J54" t="s">
        <v>22</v>
      </c>
      <c r="K54" s="3" t="str">
        <f t="shared" si="1"/>
        <v>2021</v>
      </c>
      <c r="L54" s="1">
        <v>44257</v>
      </c>
      <c r="M54" s="2" t="str" cm="1">
        <f t="array" ref="M54">_xlfn.IFS(
N54&lt;500,"Very Low",
N54&lt;1500,"Low",
N54&lt;3000,"Medium",
N54&lt;4000,"High",
TRUE,"Very High"
)</f>
        <v>Medium</v>
      </c>
      <c r="N54">
        <v>2446</v>
      </c>
      <c r="O54" t="s">
        <v>355</v>
      </c>
      <c r="P54" t="s">
        <v>44</v>
      </c>
      <c r="Q54" t="s">
        <v>200</v>
      </c>
      <c r="R54">
        <v>83966</v>
      </c>
      <c r="S54" t="s">
        <v>36</v>
      </c>
    </row>
    <row r="55" spans="1:19" x14ac:dyDescent="0.3">
      <c r="A55" t="s">
        <v>356</v>
      </c>
      <c r="B55" t="s">
        <v>357</v>
      </c>
      <c r="C55" t="s">
        <v>128</v>
      </c>
      <c r="D55" t="s">
        <v>358</v>
      </c>
      <c r="E55" t="s">
        <v>359</v>
      </c>
      <c r="F55" t="s">
        <v>360</v>
      </c>
      <c r="G55">
        <v>212099249458</v>
      </c>
      <c r="H55" s="8" t="str">
        <f t="shared" si="0"/>
        <v>2005</v>
      </c>
      <c r="I55" s="1">
        <v>38390</v>
      </c>
      <c r="J55" t="s">
        <v>22</v>
      </c>
      <c r="K55" s="3" t="str">
        <f t="shared" si="1"/>
        <v>2021</v>
      </c>
      <c r="L55" s="1">
        <v>44454</v>
      </c>
      <c r="M55" s="2" t="str" cm="1">
        <f t="array" ref="M55">_xlfn.IFS(
N55&lt;500,"Very Low",
N55&lt;1500,"Low",
N55&lt;3000,"Medium",
N55&lt;4000,"High",
TRUE,"Very High"
)</f>
        <v>Medium</v>
      </c>
      <c r="N55">
        <v>1604</v>
      </c>
      <c r="O55" t="s">
        <v>361</v>
      </c>
      <c r="P55" t="s">
        <v>44</v>
      </c>
      <c r="Q55" t="s">
        <v>167</v>
      </c>
      <c r="R55">
        <v>30333</v>
      </c>
      <c r="S55" t="s">
        <v>36</v>
      </c>
    </row>
    <row r="56" spans="1:19" x14ac:dyDescent="0.3">
      <c r="A56" t="s">
        <v>362</v>
      </c>
      <c r="B56" t="s">
        <v>259</v>
      </c>
      <c r="C56" t="s">
        <v>29</v>
      </c>
      <c r="D56" t="s">
        <v>363</v>
      </c>
      <c r="E56" t="s">
        <v>364</v>
      </c>
      <c r="F56" t="s">
        <v>365</v>
      </c>
      <c r="G56">
        <v>515528926532</v>
      </c>
      <c r="H56" s="8" t="str">
        <f t="shared" si="0"/>
        <v>1962</v>
      </c>
      <c r="I56" s="1">
        <v>22939</v>
      </c>
      <c r="J56" t="s">
        <v>61</v>
      </c>
      <c r="K56" s="3" t="str">
        <f t="shared" si="1"/>
        <v>2025</v>
      </c>
      <c r="L56" s="1">
        <v>45740</v>
      </c>
      <c r="M56" s="2" t="str" cm="1">
        <f t="array" ref="M56">_xlfn.IFS(
N56&lt;500,"Very Low",
N56&lt;1500,"Low",
N56&lt;3000,"Medium",
N56&lt;4000,"High",
TRUE,"Very High"
)</f>
        <v>High</v>
      </c>
      <c r="N56">
        <v>3622</v>
      </c>
      <c r="O56" t="s">
        <v>366</v>
      </c>
      <c r="P56" t="s">
        <v>302</v>
      </c>
      <c r="Q56" t="s">
        <v>120</v>
      </c>
      <c r="R56">
        <v>853266</v>
      </c>
      <c r="S56" t="s">
        <v>26</v>
      </c>
    </row>
    <row r="57" spans="1:19" x14ac:dyDescent="0.3">
      <c r="A57" t="s">
        <v>367</v>
      </c>
      <c r="B57" t="s">
        <v>176</v>
      </c>
      <c r="C57" t="s">
        <v>75</v>
      </c>
      <c r="D57" t="s">
        <v>368</v>
      </c>
      <c r="E57" t="s">
        <v>369</v>
      </c>
      <c r="F57" t="s">
        <v>370</v>
      </c>
      <c r="G57">
        <v>283595948687</v>
      </c>
      <c r="H57" s="8" t="str">
        <f t="shared" si="0"/>
        <v>1989</v>
      </c>
      <c r="I57" s="1">
        <v>32719</v>
      </c>
      <c r="J57" t="s">
        <v>61</v>
      </c>
      <c r="K57" s="3" t="str">
        <f t="shared" si="1"/>
        <v>2018</v>
      </c>
      <c r="L57" s="1">
        <v>43143</v>
      </c>
      <c r="M57" s="2" t="str" cm="1">
        <f t="array" ref="M57">_xlfn.IFS(
N57&lt;500,"Very Low",
N57&lt;1500,"Low",
N57&lt;3000,"Medium",
N57&lt;4000,"High",
TRUE,"Very High"
)</f>
        <v>Very High</v>
      </c>
      <c r="N57">
        <v>4755</v>
      </c>
      <c r="O57" t="s">
        <v>371</v>
      </c>
      <c r="P57" t="s">
        <v>174</v>
      </c>
      <c r="Q57" t="s">
        <v>35</v>
      </c>
      <c r="R57">
        <v>82230</v>
      </c>
      <c r="S57" t="s">
        <v>36</v>
      </c>
    </row>
    <row r="58" spans="1:19" x14ac:dyDescent="0.3">
      <c r="A58" t="s">
        <v>372</v>
      </c>
      <c r="B58" t="s">
        <v>219</v>
      </c>
      <c r="C58" t="s">
        <v>75</v>
      </c>
      <c r="D58" t="s">
        <v>373</v>
      </c>
      <c r="E58" t="s">
        <v>374</v>
      </c>
      <c r="F58" t="s">
        <v>375</v>
      </c>
      <c r="G58">
        <v>848858218557</v>
      </c>
      <c r="H58" s="8" t="str">
        <f t="shared" si="0"/>
        <v>1941</v>
      </c>
      <c r="I58" s="1">
        <v>15017</v>
      </c>
      <c r="J58" t="s">
        <v>22</v>
      </c>
      <c r="K58" s="3" t="str">
        <f t="shared" si="1"/>
        <v>2019</v>
      </c>
      <c r="L58" s="1">
        <v>43785</v>
      </c>
      <c r="M58" s="2" t="str" cm="1">
        <f t="array" ref="M58">_xlfn.IFS(
N58&lt;500,"Very Low",
N58&lt;1500,"Low",
N58&lt;3000,"Medium",
N58&lt;4000,"High",
TRUE,"Very High"
)</f>
        <v>Medium</v>
      </c>
      <c r="N58">
        <v>2795</v>
      </c>
      <c r="O58" t="s">
        <v>376</v>
      </c>
      <c r="P58" t="s">
        <v>63</v>
      </c>
      <c r="Q58" t="s">
        <v>97</v>
      </c>
      <c r="R58">
        <v>772940</v>
      </c>
      <c r="S58" t="s">
        <v>26</v>
      </c>
    </row>
    <row r="59" spans="1:19" x14ac:dyDescent="0.3">
      <c r="A59" t="s">
        <v>377</v>
      </c>
      <c r="B59" t="s">
        <v>378</v>
      </c>
      <c r="C59" t="s">
        <v>57</v>
      </c>
      <c r="D59" t="s">
        <v>379</v>
      </c>
      <c r="E59" t="s">
        <v>380</v>
      </c>
      <c r="F59" t="s">
        <v>381</v>
      </c>
      <c r="G59">
        <v>312090690697</v>
      </c>
      <c r="H59" s="8" t="str">
        <f t="shared" si="0"/>
        <v>1943</v>
      </c>
      <c r="I59" s="1">
        <v>16035</v>
      </c>
      <c r="J59" t="s">
        <v>52</v>
      </c>
      <c r="K59" s="3" t="str">
        <f t="shared" si="1"/>
        <v>2024</v>
      </c>
      <c r="L59" s="1">
        <v>45420</v>
      </c>
      <c r="M59" s="2" t="str" cm="1">
        <f t="array" ref="M59">_xlfn.IFS(
N59&lt;500,"Very Low",
N59&lt;1500,"Low",
N59&lt;3000,"Medium",
N59&lt;4000,"High",
TRUE,"Very High"
)</f>
        <v>Medium</v>
      </c>
      <c r="N59">
        <v>2455</v>
      </c>
      <c r="O59" t="s">
        <v>382</v>
      </c>
      <c r="P59" t="s">
        <v>54</v>
      </c>
      <c r="Q59" t="s">
        <v>112</v>
      </c>
      <c r="R59">
        <v>734028</v>
      </c>
      <c r="S59" t="s">
        <v>26</v>
      </c>
    </row>
    <row r="60" spans="1:19" x14ac:dyDescent="0.3">
      <c r="A60" t="s">
        <v>383</v>
      </c>
      <c r="B60" t="s">
        <v>47</v>
      </c>
      <c r="C60" t="s">
        <v>48</v>
      </c>
      <c r="D60" t="s">
        <v>49</v>
      </c>
      <c r="E60" t="s">
        <v>384</v>
      </c>
      <c r="F60" t="s">
        <v>385</v>
      </c>
      <c r="G60">
        <v>899283983551</v>
      </c>
      <c r="H60" s="8" t="str">
        <f t="shared" si="0"/>
        <v>2001</v>
      </c>
      <c r="I60" s="1">
        <v>37117</v>
      </c>
      <c r="J60" t="s">
        <v>22</v>
      </c>
      <c r="K60" s="3" t="str">
        <f t="shared" si="1"/>
        <v>2023</v>
      </c>
      <c r="L60" s="1">
        <v>45068</v>
      </c>
      <c r="M60" s="2" t="str" cm="1">
        <f t="array" ref="M60">_xlfn.IFS(
N60&lt;500,"Very Low",
N60&lt;1500,"Low",
N60&lt;3000,"Medium",
N60&lt;4000,"High",
TRUE,"Very High"
)</f>
        <v>High</v>
      </c>
      <c r="N60">
        <v>3301</v>
      </c>
      <c r="O60" t="s">
        <v>386</v>
      </c>
      <c r="P60" t="s">
        <v>111</v>
      </c>
      <c r="Q60" t="s">
        <v>188</v>
      </c>
      <c r="R60">
        <v>821798</v>
      </c>
      <c r="S60" t="s">
        <v>26</v>
      </c>
    </row>
    <row r="61" spans="1:19" x14ac:dyDescent="0.3">
      <c r="A61" t="s">
        <v>387</v>
      </c>
      <c r="B61" t="s">
        <v>259</v>
      </c>
      <c r="C61" t="s">
        <v>253</v>
      </c>
      <c r="D61" t="s">
        <v>388</v>
      </c>
      <c r="E61" t="s">
        <v>389</v>
      </c>
      <c r="F61" t="s">
        <v>390</v>
      </c>
      <c r="G61">
        <v>471617126506</v>
      </c>
      <c r="H61" s="8" t="str">
        <f t="shared" si="0"/>
        <v>1951</v>
      </c>
      <c r="I61" s="1">
        <v>18987</v>
      </c>
      <c r="J61" t="s">
        <v>52</v>
      </c>
      <c r="K61" s="3" t="str">
        <f t="shared" si="1"/>
        <v>2023</v>
      </c>
      <c r="L61" s="1">
        <v>45055</v>
      </c>
      <c r="M61" s="2" t="str" cm="1">
        <f t="array" ref="M61">_xlfn.IFS(
N61&lt;500,"Very Low",
N61&lt;1500,"Low",
N61&lt;3000,"Medium",
N61&lt;4000,"High",
TRUE,"Very High"
)</f>
        <v>Very Low</v>
      </c>
      <c r="N61">
        <v>371</v>
      </c>
      <c r="O61" t="s">
        <v>391</v>
      </c>
      <c r="P61" t="s">
        <v>80</v>
      </c>
      <c r="Q61" t="s">
        <v>337</v>
      </c>
      <c r="R61">
        <v>599828</v>
      </c>
      <c r="S61" t="s">
        <v>26</v>
      </c>
    </row>
    <row r="62" spans="1:19" x14ac:dyDescent="0.3">
      <c r="A62" t="s">
        <v>392</v>
      </c>
      <c r="B62" t="s">
        <v>219</v>
      </c>
      <c r="C62" t="s">
        <v>183</v>
      </c>
      <c r="D62" t="s">
        <v>220</v>
      </c>
      <c r="E62" t="s">
        <v>393</v>
      </c>
      <c r="F62" t="s">
        <v>394</v>
      </c>
      <c r="G62">
        <v>553255055994</v>
      </c>
      <c r="H62" s="8" t="str">
        <f t="shared" si="0"/>
        <v>1975</v>
      </c>
      <c r="I62" s="1">
        <v>27635</v>
      </c>
      <c r="J62" t="s">
        <v>52</v>
      </c>
      <c r="K62" s="3" t="str">
        <f t="shared" si="1"/>
        <v>2025</v>
      </c>
      <c r="L62" s="1">
        <v>45939</v>
      </c>
      <c r="M62" s="2" t="str" cm="1">
        <f t="array" ref="M62">_xlfn.IFS(
N62&lt;500,"Very Low",
N62&lt;1500,"Low",
N62&lt;3000,"Medium",
N62&lt;4000,"High",
TRUE,"Very High"
)</f>
        <v>Medium</v>
      </c>
      <c r="N62">
        <v>1972</v>
      </c>
      <c r="O62" t="s">
        <v>395</v>
      </c>
      <c r="P62" t="s">
        <v>302</v>
      </c>
      <c r="Q62" t="s">
        <v>97</v>
      </c>
      <c r="R62">
        <v>960394</v>
      </c>
      <c r="S62" t="s">
        <v>26</v>
      </c>
    </row>
    <row r="63" spans="1:19" x14ac:dyDescent="0.3">
      <c r="A63" t="s">
        <v>396</v>
      </c>
      <c r="B63" t="s">
        <v>342</v>
      </c>
      <c r="C63" t="s">
        <v>57</v>
      </c>
      <c r="D63" t="s">
        <v>397</v>
      </c>
      <c r="E63" t="s">
        <v>398</v>
      </c>
      <c r="F63" t="s">
        <v>399</v>
      </c>
      <c r="G63">
        <v>104455236471</v>
      </c>
      <c r="H63" s="8" t="str">
        <f t="shared" si="0"/>
        <v>1964</v>
      </c>
      <c r="I63" s="1">
        <v>23540</v>
      </c>
      <c r="J63" t="s">
        <v>52</v>
      </c>
      <c r="K63" s="3" t="str">
        <f t="shared" si="1"/>
        <v>2020</v>
      </c>
      <c r="L63" s="1">
        <v>43948</v>
      </c>
      <c r="M63" s="2" t="str" cm="1">
        <f t="array" ref="M63">_xlfn.IFS(
N63&lt;500,"Very Low",
N63&lt;1500,"Low",
N63&lt;3000,"Medium",
N63&lt;4000,"High",
TRUE,"Very High"
)</f>
        <v>High</v>
      </c>
      <c r="N63">
        <v>3625</v>
      </c>
      <c r="O63" t="s">
        <v>400</v>
      </c>
      <c r="P63" t="s">
        <v>24</v>
      </c>
      <c r="Q63" t="s">
        <v>25</v>
      </c>
      <c r="R63">
        <v>212752</v>
      </c>
      <c r="S63" t="s">
        <v>26</v>
      </c>
    </row>
    <row r="64" spans="1:19" x14ac:dyDescent="0.3">
      <c r="A64" t="s">
        <v>401</v>
      </c>
      <c r="B64" t="s">
        <v>402</v>
      </c>
      <c r="C64" t="s">
        <v>48</v>
      </c>
      <c r="D64" t="s">
        <v>403</v>
      </c>
      <c r="E64" t="s">
        <v>404</v>
      </c>
      <c r="F64" t="s">
        <v>405</v>
      </c>
      <c r="G64">
        <v>200872796433</v>
      </c>
      <c r="H64" s="8" t="str">
        <f t="shared" si="0"/>
        <v>1944</v>
      </c>
      <c r="I64" s="1">
        <v>16229</v>
      </c>
      <c r="J64" t="s">
        <v>61</v>
      </c>
      <c r="K64" s="3" t="str">
        <f t="shared" si="1"/>
        <v>2023</v>
      </c>
      <c r="L64" s="1">
        <v>44992</v>
      </c>
      <c r="M64" s="2" t="str" cm="1">
        <f t="array" ref="M64">_xlfn.IFS(
N64&lt;500,"Very Low",
N64&lt;1500,"Low",
N64&lt;3000,"Medium",
N64&lt;4000,"High",
TRUE,"Very High"
)</f>
        <v>Very Low</v>
      </c>
      <c r="N64">
        <v>410</v>
      </c>
      <c r="O64" t="s">
        <v>406</v>
      </c>
      <c r="P64" t="s">
        <v>211</v>
      </c>
      <c r="Q64" t="s">
        <v>212</v>
      </c>
      <c r="R64">
        <v>27439</v>
      </c>
      <c r="S64" t="s">
        <v>36</v>
      </c>
    </row>
    <row r="65" spans="1:19" x14ac:dyDescent="0.3">
      <c r="A65" t="s">
        <v>407</v>
      </c>
      <c r="B65" t="s">
        <v>66</v>
      </c>
      <c r="C65" t="s">
        <v>92</v>
      </c>
      <c r="D65" t="s">
        <v>408</v>
      </c>
      <c r="E65" t="s">
        <v>409</v>
      </c>
      <c r="F65" t="s">
        <v>410</v>
      </c>
      <c r="G65">
        <v>872449030832</v>
      </c>
      <c r="H65" s="8" t="str">
        <f t="shared" si="0"/>
        <v>1988</v>
      </c>
      <c r="I65" s="1">
        <v>32488</v>
      </c>
      <c r="J65" t="s">
        <v>61</v>
      </c>
      <c r="K65" s="3" t="str">
        <f t="shared" si="1"/>
        <v>2024</v>
      </c>
      <c r="L65" s="1">
        <v>45635</v>
      </c>
      <c r="M65" s="2" t="str" cm="1">
        <f t="array" ref="M65">_xlfn.IFS(
N65&lt;500,"Very Low",
N65&lt;1500,"Low",
N65&lt;3000,"Medium",
N65&lt;4000,"High",
TRUE,"Very High"
)</f>
        <v>Very High</v>
      </c>
      <c r="N65">
        <v>4988</v>
      </c>
      <c r="O65" t="s">
        <v>411</v>
      </c>
      <c r="P65" t="s">
        <v>63</v>
      </c>
      <c r="Q65" t="s">
        <v>64</v>
      </c>
      <c r="R65">
        <v>541379</v>
      </c>
      <c r="S65" t="s">
        <v>26</v>
      </c>
    </row>
    <row r="66" spans="1:19" x14ac:dyDescent="0.3">
      <c r="A66" t="s">
        <v>412</v>
      </c>
      <c r="B66" t="s">
        <v>38</v>
      </c>
      <c r="C66" t="s">
        <v>115</v>
      </c>
      <c r="D66" t="s">
        <v>413</v>
      </c>
      <c r="E66" t="s">
        <v>414</v>
      </c>
      <c r="F66" t="s">
        <v>415</v>
      </c>
      <c r="G66">
        <v>549015109449</v>
      </c>
      <c r="H66" s="8" t="str">
        <f t="shared" si="0"/>
        <v>1986</v>
      </c>
      <c r="I66" s="1">
        <v>31557</v>
      </c>
      <c r="J66" t="s">
        <v>22</v>
      </c>
      <c r="K66" s="3" t="str">
        <f t="shared" si="1"/>
        <v>2018</v>
      </c>
      <c r="L66" s="1">
        <v>43112</v>
      </c>
      <c r="M66" s="2" t="str" cm="1">
        <f t="array" ref="M66">_xlfn.IFS(
N66&lt;500,"Very Low",
N66&lt;1500,"Low",
N66&lt;3000,"Medium",
N66&lt;4000,"High",
TRUE,"Very High"
)</f>
        <v>Medium</v>
      </c>
      <c r="N66">
        <v>2480</v>
      </c>
      <c r="O66" t="s">
        <v>416</v>
      </c>
      <c r="P66" t="s">
        <v>417</v>
      </c>
      <c r="Q66" t="s">
        <v>64</v>
      </c>
      <c r="R66">
        <v>650781</v>
      </c>
      <c r="S66" t="s">
        <v>26</v>
      </c>
    </row>
    <row r="67" spans="1:19" x14ac:dyDescent="0.3">
      <c r="A67" t="s">
        <v>418</v>
      </c>
      <c r="B67" t="s">
        <v>91</v>
      </c>
      <c r="C67" t="s">
        <v>67</v>
      </c>
      <c r="D67" t="s">
        <v>419</v>
      </c>
      <c r="E67" t="s">
        <v>420</v>
      </c>
      <c r="F67" t="s">
        <v>421</v>
      </c>
      <c r="G67">
        <v>915744762744</v>
      </c>
      <c r="H67" s="8" t="str">
        <f t="shared" ref="H67:H130" si="2">TEXT(I67,"YYYY")</f>
        <v>1955</v>
      </c>
      <c r="I67" s="1">
        <v>20323</v>
      </c>
      <c r="J67" t="s">
        <v>61</v>
      </c>
      <c r="K67" s="3" t="str">
        <f t="shared" ref="K67:K130" si="3">TEXT(L67, "YYYY")</f>
        <v>2018</v>
      </c>
      <c r="L67" s="1">
        <v>43404</v>
      </c>
      <c r="M67" s="2" t="str" cm="1">
        <f t="array" ref="M67">_xlfn.IFS(
N67&lt;500,"Very Low",
N67&lt;1500,"Low",
N67&lt;3000,"Medium",
N67&lt;4000,"High",
TRUE,"Very High"
)</f>
        <v>Very High</v>
      </c>
      <c r="N67">
        <v>4054</v>
      </c>
      <c r="O67" t="s">
        <v>422</v>
      </c>
      <c r="P67" t="s">
        <v>174</v>
      </c>
      <c r="Q67" t="s">
        <v>212</v>
      </c>
      <c r="R67">
        <v>72133</v>
      </c>
      <c r="S67" t="s">
        <v>36</v>
      </c>
    </row>
    <row r="68" spans="1:19" x14ac:dyDescent="0.3">
      <c r="A68" t="s">
        <v>423</v>
      </c>
      <c r="B68" t="s">
        <v>154</v>
      </c>
      <c r="C68" t="s">
        <v>48</v>
      </c>
      <c r="D68" t="s">
        <v>424</v>
      </c>
      <c r="E68" t="s">
        <v>425</v>
      </c>
      <c r="F68" t="s">
        <v>426</v>
      </c>
      <c r="G68">
        <v>209870852274</v>
      </c>
      <c r="H68" s="8" t="str">
        <f t="shared" si="2"/>
        <v>1963</v>
      </c>
      <c r="I68" s="1">
        <v>23132</v>
      </c>
      <c r="J68" t="s">
        <v>61</v>
      </c>
      <c r="K68" s="3" t="str">
        <f t="shared" si="3"/>
        <v>2024</v>
      </c>
      <c r="L68" s="1">
        <v>45506</v>
      </c>
      <c r="M68" s="2" t="str" cm="1">
        <f t="array" ref="M68">_xlfn.IFS(
N68&lt;500,"Very Low",
N68&lt;1500,"Low",
N68&lt;3000,"Medium",
N68&lt;4000,"High",
TRUE,"Very High"
)</f>
        <v>Very High</v>
      </c>
      <c r="N68">
        <v>4403</v>
      </c>
      <c r="O68" t="s">
        <v>427</v>
      </c>
      <c r="P68" t="s">
        <v>211</v>
      </c>
      <c r="Q68" t="s">
        <v>212</v>
      </c>
      <c r="R68">
        <v>43380</v>
      </c>
      <c r="S68" t="s">
        <v>36</v>
      </c>
    </row>
    <row r="69" spans="1:19" x14ac:dyDescent="0.3">
      <c r="A69" t="s">
        <v>428</v>
      </c>
      <c r="B69" t="s">
        <v>106</v>
      </c>
      <c r="C69" t="s">
        <v>18</v>
      </c>
      <c r="D69" t="s">
        <v>348</v>
      </c>
      <c r="E69" t="s">
        <v>429</v>
      </c>
      <c r="F69" t="s">
        <v>430</v>
      </c>
      <c r="G69">
        <v>532708157145</v>
      </c>
      <c r="H69" s="8" t="str">
        <f t="shared" si="2"/>
        <v>1963</v>
      </c>
      <c r="I69" s="1">
        <v>23203</v>
      </c>
      <c r="J69" t="s">
        <v>61</v>
      </c>
      <c r="K69" s="3" t="str">
        <f t="shared" si="3"/>
        <v>2022</v>
      </c>
      <c r="L69" s="1">
        <v>44633</v>
      </c>
      <c r="M69" s="2" t="str" cm="1">
        <f t="array" ref="M69">_xlfn.IFS(
N69&lt;500,"Very Low",
N69&lt;1500,"Low",
N69&lt;3000,"Medium",
N69&lt;4000,"High",
TRUE,"Very High"
)</f>
        <v>High</v>
      </c>
      <c r="N69">
        <v>3110</v>
      </c>
      <c r="O69" t="s">
        <v>431</v>
      </c>
      <c r="P69" t="s">
        <v>432</v>
      </c>
      <c r="Q69" t="s">
        <v>45</v>
      </c>
      <c r="R69">
        <v>32654</v>
      </c>
      <c r="S69" t="s">
        <v>36</v>
      </c>
    </row>
    <row r="70" spans="1:19" x14ac:dyDescent="0.3">
      <c r="A70" t="s">
        <v>433</v>
      </c>
      <c r="B70" t="s">
        <v>38</v>
      </c>
      <c r="C70" t="s">
        <v>162</v>
      </c>
      <c r="D70" t="s">
        <v>434</v>
      </c>
      <c r="E70" t="s">
        <v>435</v>
      </c>
      <c r="F70" t="s">
        <v>436</v>
      </c>
      <c r="G70">
        <v>911936741330</v>
      </c>
      <c r="H70" s="8" t="str">
        <f t="shared" si="2"/>
        <v>1940</v>
      </c>
      <c r="I70" s="1">
        <v>14948</v>
      </c>
      <c r="J70" t="s">
        <v>52</v>
      </c>
      <c r="K70" s="3" t="str">
        <f t="shared" si="3"/>
        <v>2023</v>
      </c>
      <c r="L70" s="1">
        <v>45042</v>
      </c>
      <c r="M70" s="2" t="str" cm="1">
        <f t="array" ref="M70">_xlfn.IFS(
N70&lt;500,"Very Low",
N70&lt;1500,"Low",
N70&lt;3000,"Medium",
N70&lt;4000,"High",
TRUE,"Very High"
)</f>
        <v>Medium</v>
      </c>
      <c r="N70">
        <v>1780</v>
      </c>
      <c r="O70" t="s">
        <v>437</v>
      </c>
      <c r="P70" t="s">
        <v>417</v>
      </c>
      <c r="Q70" t="s">
        <v>81</v>
      </c>
      <c r="R70">
        <v>493249</v>
      </c>
      <c r="S70" t="s">
        <v>26</v>
      </c>
    </row>
    <row r="71" spans="1:19" x14ac:dyDescent="0.3">
      <c r="A71" t="s">
        <v>438</v>
      </c>
      <c r="B71" t="s">
        <v>378</v>
      </c>
      <c r="C71" t="s">
        <v>84</v>
      </c>
      <c r="D71" t="s">
        <v>439</v>
      </c>
      <c r="E71" t="s">
        <v>440</v>
      </c>
      <c r="F71" t="s">
        <v>441</v>
      </c>
      <c r="G71">
        <v>872870417202</v>
      </c>
      <c r="H71" s="8" t="str">
        <f t="shared" si="2"/>
        <v>1954</v>
      </c>
      <c r="I71" s="1">
        <v>20012</v>
      </c>
      <c r="J71" t="s">
        <v>61</v>
      </c>
      <c r="K71" s="3" t="str">
        <f t="shared" si="3"/>
        <v>2020</v>
      </c>
      <c r="L71" s="1">
        <v>43963</v>
      </c>
      <c r="M71" s="2" t="str" cm="1">
        <f t="array" ref="M71">_xlfn.IFS(
N71&lt;500,"Very Low",
N71&lt;1500,"Low",
N71&lt;3000,"Medium",
N71&lt;4000,"High",
TRUE,"Very High"
)</f>
        <v>High</v>
      </c>
      <c r="N71">
        <v>3040</v>
      </c>
      <c r="O71" t="s">
        <v>442</v>
      </c>
      <c r="P71" t="s">
        <v>159</v>
      </c>
      <c r="Q71" t="s">
        <v>35</v>
      </c>
      <c r="R71">
        <v>58555</v>
      </c>
      <c r="S71" t="s">
        <v>36</v>
      </c>
    </row>
    <row r="72" spans="1:19" x14ac:dyDescent="0.3">
      <c r="A72" t="s">
        <v>443</v>
      </c>
      <c r="B72" t="s">
        <v>56</v>
      </c>
      <c r="C72" t="s">
        <v>190</v>
      </c>
      <c r="D72" t="s">
        <v>444</v>
      </c>
      <c r="E72" t="s">
        <v>445</v>
      </c>
      <c r="F72" t="s">
        <v>446</v>
      </c>
      <c r="G72">
        <v>635902512694</v>
      </c>
      <c r="H72" s="8" t="str">
        <f t="shared" si="2"/>
        <v>1957</v>
      </c>
      <c r="I72" s="1">
        <v>21006</v>
      </c>
      <c r="J72" t="s">
        <v>52</v>
      </c>
      <c r="K72" s="3" t="str">
        <f t="shared" si="3"/>
        <v>2018</v>
      </c>
      <c r="L72" s="1">
        <v>43159</v>
      </c>
      <c r="M72" s="2" t="str" cm="1">
        <f t="array" ref="M72">_xlfn.IFS(
N72&lt;500,"Very Low",
N72&lt;1500,"Low",
N72&lt;3000,"Medium",
N72&lt;4000,"High",
TRUE,"Very High"
)</f>
        <v>Low</v>
      </c>
      <c r="N72">
        <v>547</v>
      </c>
      <c r="O72" t="s">
        <v>447</v>
      </c>
      <c r="P72" t="s">
        <v>54</v>
      </c>
      <c r="Q72" t="s">
        <v>64</v>
      </c>
      <c r="R72">
        <v>965880</v>
      </c>
      <c r="S72" t="s">
        <v>26</v>
      </c>
    </row>
    <row r="73" spans="1:19" x14ac:dyDescent="0.3">
      <c r="A73" t="s">
        <v>448</v>
      </c>
      <c r="B73" t="s">
        <v>91</v>
      </c>
      <c r="C73" t="s">
        <v>115</v>
      </c>
      <c r="D73" t="s">
        <v>449</v>
      </c>
      <c r="E73" t="s">
        <v>450</v>
      </c>
      <c r="F73" t="s">
        <v>451</v>
      </c>
      <c r="G73">
        <v>565051047201</v>
      </c>
      <c r="H73" s="8" t="str">
        <f t="shared" si="2"/>
        <v>2005</v>
      </c>
      <c r="I73" s="1">
        <v>38690</v>
      </c>
      <c r="J73" t="s">
        <v>52</v>
      </c>
      <c r="K73" s="3" t="str">
        <f t="shared" si="3"/>
        <v>2022</v>
      </c>
      <c r="L73" s="1">
        <v>44896</v>
      </c>
      <c r="M73" s="2" t="str" cm="1">
        <f t="array" ref="M73">_xlfn.IFS(
N73&lt;500,"Very Low",
N73&lt;1500,"Low",
N73&lt;3000,"Medium",
N73&lt;4000,"High",
TRUE,"Very High"
)</f>
        <v>Very High</v>
      </c>
      <c r="N73">
        <v>4616</v>
      </c>
      <c r="O73" t="s">
        <v>452</v>
      </c>
      <c r="P73" t="s">
        <v>34</v>
      </c>
      <c r="Q73" t="s">
        <v>200</v>
      </c>
      <c r="R73">
        <v>11961</v>
      </c>
      <c r="S73" t="s">
        <v>36</v>
      </c>
    </row>
    <row r="74" spans="1:19" x14ac:dyDescent="0.3">
      <c r="A74" t="s">
        <v>453</v>
      </c>
      <c r="B74" t="s">
        <v>357</v>
      </c>
      <c r="C74" t="s">
        <v>253</v>
      </c>
      <c r="D74" t="s">
        <v>454</v>
      </c>
      <c r="E74" t="s">
        <v>455</v>
      </c>
      <c r="F74" t="s">
        <v>456</v>
      </c>
      <c r="G74">
        <v>441027548376</v>
      </c>
      <c r="H74" s="8" t="str">
        <f t="shared" si="2"/>
        <v>1965</v>
      </c>
      <c r="I74" s="1">
        <v>23798</v>
      </c>
      <c r="J74" t="s">
        <v>61</v>
      </c>
      <c r="K74" s="3" t="str">
        <f t="shared" si="3"/>
        <v>2025</v>
      </c>
      <c r="L74" s="1">
        <v>45876</v>
      </c>
      <c r="M74" s="2" t="str" cm="1">
        <f t="array" ref="M74">_xlfn.IFS(
N74&lt;500,"Very Low",
N74&lt;1500,"Low",
N74&lt;3000,"Medium",
N74&lt;4000,"High",
TRUE,"Very High"
)</f>
        <v>High</v>
      </c>
      <c r="N74">
        <v>3556</v>
      </c>
      <c r="O74" t="s">
        <v>457</v>
      </c>
      <c r="P74" t="s">
        <v>112</v>
      </c>
      <c r="Q74" t="s">
        <v>112</v>
      </c>
      <c r="R74">
        <v>138171</v>
      </c>
      <c r="S74" t="s">
        <v>26</v>
      </c>
    </row>
    <row r="75" spans="1:19" x14ac:dyDescent="0.3">
      <c r="A75" t="s">
        <v>458</v>
      </c>
      <c r="B75" t="s">
        <v>219</v>
      </c>
      <c r="C75" t="s">
        <v>287</v>
      </c>
      <c r="D75" t="s">
        <v>459</v>
      </c>
      <c r="E75" t="s">
        <v>460</v>
      </c>
      <c r="F75" t="s">
        <v>461</v>
      </c>
      <c r="G75">
        <v>382159371728</v>
      </c>
      <c r="H75" s="8" t="str">
        <f t="shared" si="2"/>
        <v>1987</v>
      </c>
      <c r="I75" s="1">
        <v>32090</v>
      </c>
      <c r="J75" t="s">
        <v>52</v>
      </c>
      <c r="K75" s="3" t="str">
        <f t="shared" si="3"/>
        <v>2023</v>
      </c>
      <c r="L75" s="1">
        <v>45116</v>
      </c>
      <c r="M75" s="2" t="str" cm="1">
        <f t="array" ref="M75">_xlfn.IFS(
N75&lt;500,"Very Low",
N75&lt;1500,"Low",
N75&lt;3000,"Medium",
N75&lt;4000,"High",
TRUE,"Very High"
)</f>
        <v>High</v>
      </c>
      <c r="N75">
        <v>3903</v>
      </c>
      <c r="O75" t="s">
        <v>462</v>
      </c>
      <c r="P75" t="s">
        <v>54</v>
      </c>
      <c r="Q75" t="s">
        <v>81</v>
      </c>
      <c r="R75">
        <v>593187</v>
      </c>
      <c r="S75" t="s">
        <v>26</v>
      </c>
    </row>
    <row r="76" spans="1:19" x14ac:dyDescent="0.3">
      <c r="A76" t="s">
        <v>463</v>
      </c>
      <c r="B76" t="s">
        <v>127</v>
      </c>
      <c r="C76" t="s">
        <v>84</v>
      </c>
      <c r="D76" t="s">
        <v>464</v>
      </c>
      <c r="E76" t="s">
        <v>465</v>
      </c>
      <c r="F76" t="s">
        <v>466</v>
      </c>
      <c r="G76">
        <v>532254291475</v>
      </c>
      <c r="H76" s="8" t="str">
        <f t="shared" si="2"/>
        <v>1995</v>
      </c>
      <c r="I76" s="1">
        <v>34801</v>
      </c>
      <c r="J76" t="s">
        <v>52</v>
      </c>
      <c r="K76" s="3" t="str">
        <f t="shared" si="3"/>
        <v>2021</v>
      </c>
      <c r="L76" s="1">
        <v>44281</v>
      </c>
      <c r="M76" s="2" t="str" cm="1">
        <f t="array" ref="M76">_xlfn.IFS(
N76&lt;500,"Very Low",
N76&lt;1500,"Low",
N76&lt;3000,"Medium",
N76&lt;4000,"High",
TRUE,"Very High"
)</f>
        <v>Very High</v>
      </c>
      <c r="N76">
        <v>4517</v>
      </c>
      <c r="O76" t="s">
        <v>467</v>
      </c>
      <c r="P76" t="s">
        <v>54</v>
      </c>
      <c r="Q76" t="s">
        <v>25</v>
      </c>
      <c r="R76">
        <v>595063</v>
      </c>
      <c r="S76" t="s">
        <v>26</v>
      </c>
    </row>
    <row r="77" spans="1:19" x14ac:dyDescent="0.3">
      <c r="A77" t="s">
        <v>468</v>
      </c>
      <c r="B77" t="s">
        <v>259</v>
      </c>
      <c r="C77" t="s">
        <v>136</v>
      </c>
      <c r="D77" t="s">
        <v>469</v>
      </c>
      <c r="E77" t="s">
        <v>470</v>
      </c>
      <c r="F77" t="s">
        <v>471</v>
      </c>
      <c r="G77">
        <v>462680926632</v>
      </c>
      <c r="H77" s="8" t="str">
        <f t="shared" si="2"/>
        <v>1956</v>
      </c>
      <c r="I77" s="1">
        <v>20818</v>
      </c>
      <c r="J77" t="s">
        <v>22</v>
      </c>
      <c r="K77" s="3" t="str">
        <f t="shared" si="3"/>
        <v>2025</v>
      </c>
      <c r="L77" s="1">
        <v>45880</v>
      </c>
      <c r="M77" s="2" t="str" cm="1">
        <f t="array" ref="M77">_xlfn.IFS(
N77&lt;500,"Very Low",
N77&lt;1500,"Low",
N77&lt;3000,"Medium",
N77&lt;4000,"High",
TRUE,"Very High"
)</f>
        <v>Low</v>
      </c>
      <c r="N77">
        <v>1208</v>
      </c>
      <c r="O77" t="s">
        <v>472</v>
      </c>
      <c r="P77" t="s">
        <v>285</v>
      </c>
      <c r="Q77" t="s">
        <v>25</v>
      </c>
      <c r="R77">
        <v>987542</v>
      </c>
      <c r="S77" t="s">
        <v>26</v>
      </c>
    </row>
    <row r="78" spans="1:19" x14ac:dyDescent="0.3">
      <c r="A78" t="s">
        <v>473</v>
      </c>
      <c r="B78" t="s">
        <v>38</v>
      </c>
      <c r="C78" t="s">
        <v>183</v>
      </c>
      <c r="D78" t="s">
        <v>474</v>
      </c>
      <c r="E78" t="s">
        <v>475</v>
      </c>
      <c r="F78" t="s">
        <v>476</v>
      </c>
      <c r="G78">
        <v>714455720307</v>
      </c>
      <c r="H78" s="8" t="str">
        <f t="shared" si="2"/>
        <v>1966</v>
      </c>
      <c r="I78" s="1">
        <v>24433</v>
      </c>
      <c r="J78" t="s">
        <v>22</v>
      </c>
      <c r="K78" s="3" t="str">
        <f t="shared" si="3"/>
        <v>2024</v>
      </c>
      <c r="L78" s="1">
        <v>45599</v>
      </c>
      <c r="M78" s="2" t="str" cm="1">
        <f t="array" ref="M78">_xlfn.IFS(
N78&lt;500,"Very Low",
N78&lt;1500,"Low",
N78&lt;3000,"Medium",
N78&lt;4000,"High",
TRUE,"Very High"
)</f>
        <v>Low</v>
      </c>
      <c r="N78">
        <v>1456</v>
      </c>
      <c r="O78" t="s">
        <v>477</v>
      </c>
      <c r="P78" t="s">
        <v>111</v>
      </c>
      <c r="Q78" t="s">
        <v>205</v>
      </c>
      <c r="R78">
        <v>841133</v>
      </c>
      <c r="S78" t="s">
        <v>26</v>
      </c>
    </row>
    <row r="79" spans="1:19" x14ac:dyDescent="0.3">
      <c r="A79" t="s">
        <v>478</v>
      </c>
      <c r="B79" t="s">
        <v>38</v>
      </c>
      <c r="C79" t="s">
        <v>75</v>
      </c>
      <c r="D79" t="s">
        <v>479</v>
      </c>
      <c r="E79" t="s">
        <v>480</v>
      </c>
      <c r="F79" t="s">
        <v>481</v>
      </c>
      <c r="G79">
        <v>168596987015</v>
      </c>
      <c r="H79" s="8" t="str">
        <f t="shared" si="2"/>
        <v>1999</v>
      </c>
      <c r="I79" s="1">
        <v>36470</v>
      </c>
      <c r="J79" t="s">
        <v>22</v>
      </c>
      <c r="K79" s="3" t="str">
        <f t="shared" si="3"/>
        <v>2020</v>
      </c>
      <c r="L79" s="1">
        <v>44166</v>
      </c>
      <c r="M79" s="2" t="str" cm="1">
        <f t="array" ref="M79">_xlfn.IFS(
N79&lt;500,"Very Low",
N79&lt;1500,"Low",
N79&lt;3000,"Medium",
N79&lt;4000,"High",
TRUE,"Very High"
)</f>
        <v>Medium</v>
      </c>
      <c r="N79">
        <v>1872</v>
      </c>
      <c r="O79" t="s">
        <v>482</v>
      </c>
      <c r="P79" t="s">
        <v>417</v>
      </c>
      <c r="Q79" t="s">
        <v>112</v>
      </c>
      <c r="R79">
        <v>449859</v>
      </c>
      <c r="S79" t="s">
        <v>26</v>
      </c>
    </row>
    <row r="80" spans="1:19" x14ac:dyDescent="0.3">
      <c r="A80" t="s">
        <v>483</v>
      </c>
      <c r="B80" t="s">
        <v>66</v>
      </c>
      <c r="C80" t="s">
        <v>39</v>
      </c>
      <c r="D80" t="s">
        <v>484</v>
      </c>
      <c r="E80" t="s">
        <v>485</v>
      </c>
      <c r="F80" t="s">
        <v>486</v>
      </c>
      <c r="G80">
        <v>399392202992</v>
      </c>
      <c r="H80" s="8" t="str">
        <f t="shared" si="2"/>
        <v>1946</v>
      </c>
      <c r="I80" s="1">
        <v>17061</v>
      </c>
      <c r="J80" t="s">
        <v>52</v>
      </c>
      <c r="K80" s="3" t="str">
        <f t="shared" si="3"/>
        <v>2018</v>
      </c>
      <c r="L80" s="1">
        <v>43133</v>
      </c>
      <c r="M80" s="2" t="str" cm="1">
        <f t="array" ref="M80">_xlfn.IFS(
N80&lt;500,"Very Low",
N80&lt;1500,"Low",
N80&lt;3000,"Medium",
N80&lt;4000,"High",
TRUE,"Very High"
)</f>
        <v>Medium</v>
      </c>
      <c r="N80">
        <v>2297</v>
      </c>
      <c r="O80" t="s">
        <v>487</v>
      </c>
      <c r="P80" t="s">
        <v>111</v>
      </c>
      <c r="Q80" t="s">
        <v>337</v>
      </c>
      <c r="R80">
        <v>867476</v>
      </c>
      <c r="S80" t="s">
        <v>26</v>
      </c>
    </row>
    <row r="81" spans="1:19" x14ac:dyDescent="0.3">
      <c r="A81" t="s">
        <v>488</v>
      </c>
      <c r="B81" t="s">
        <v>489</v>
      </c>
      <c r="C81" t="s">
        <v>75</v>
      </c>
      <c r="D81" t="s">
        <v>490</v>
      </c>
      <c r="E81" t="s">
        <v>491</v>
      </c>
      <c r="F81" t="s">
        <v>492</v>
      </c>
      <c r="G81">
        <v>493365608381</v>
      </c>
      <c r="H81" s="8" t="str">
        <f t="shared" si="2"/>
        <v>1976</v>
      </c>
      <c r="I81" s="1">
        <v>27989</v>
      </c>
      <c r="J81" t="s">
        <v>61</v>
      </c>
      <c r="K81" s="3" t="str">
        <f t="shared" si="3"/>
        <v>2023</v>
      </c>
      <c r="L81" s="1">
        <v>45109</v>
      </c>
      <c r="M81" s="2" t="str" cm="1">
        <f t="array" ref="M81">_xlfn.IFS(
N81&lt;500,"Very Low",
N81&lt;1500,"Low",
N81&lt;3000,"Medium",
N81&lt;4000,"High",
TRUE,"Very High"
)</f>
        <v>Very High</v>
      </c>
      <c r="N81">
        <v>4502</v>
      </c>
      <c r="O81" t="s">
        <v>493</v>
      </c>
      <c r="P81" t="s">
        <v>24</v>
      </c>
      <c r="Q81" t="s">
        <v>25</v>
      </c>
      <c r="R81">
        <v>167365</v>
      </c>
      <c r="S81" t="s">
        <v>26</v>
      </c>
    </row>
    <row r="82" spans="1:19" x14ac:dyDescent="0.3">
      <c r="A82" t="s">
        <v>494</v>
      </c>
      <c r="B82" t="s">
        <v>219</v>
      </c>
      <c r="C82" t="s">
        <v>48</v>
      </c>
      <c r="D82" t="s">
        <v>495</v>
      </c>
      <c r="E82" t="s">
        <v>496</v>
      </c>
      <c r="F82" t="s">
        <v>497</v>
      </c>
      <c r="G82">
        <v>726070292974</v>
      </c>
      <c r="H82" s="8" t="str">
        <f t="shared" si="2"/>
        <v>1972</v>
      </c>
      <c r="I82" s="1">
        <v>26508</v>
      </c>
      <c r="J82" t="s">
        <v>52</v>
      </c>
      <c r="K82" s="3" t="str">
        <f t="shared" si="3"/>
        <v>2024</v>
      </c>
      <c r="L82" s="1">
        <v>45383</v>
      </c>
      <c r="M82" s="2" t="str" cm="1">
        <f t="array" ref="M82">_xlfn.IFS(
N82&lt;500,"Very Low",
N82&lt;1500,"Low",
N82&lt;3000,"Medium",
N82&lt;4000,"High",
TRUE,"Very High"
)</f>
        <v>Medium</v>
      </c>
      <c r="N82">
        <v>2008</v>
      </c>
      <c r="O82" t="s">
        <v>498</v>
      </c>
      <c r="P82" t="s">
        <v>63</v>
      </c>
      <c r="Q82" t="s">
        <v>337</v>
      </c>
      <c r="R82">
        <v>547642</v>
      </c>
      <c r="S82" t="s">
        <v>26</v>
      </c>
    </row>
    <row r="83" spans="1:19" x14ac:dyDescent="0.3">
      <c r="A83" t="s">
        <v>499</v>
      </c>
      <c r="B83" t="s">
        <v>252</v>
      </c>
      <c r="C83" t="s">
        <v>48</v>
      </c>
      <c r="D83" t="s">
        <v>500</v>
      </c>
      <c r="E83" t="s">
        <v>501</v>
      </c>
      <c r="F83" t="s">
        <v>502</v>
      </c>
      <c r="G83">
        <v>881787237852</v>
      </c>
      <c r="H83" s="8" t="str">
        <f t="shared" si="2"/>
        <v>1983</v>
      </c>
      <c r="I83" s="1">
        <v>30416</v>
      </c>
      <c r="J83" t="s">
        <v>22</v>
      </c>
      <c r="K83" s="3" t="str">
        <f t="shared" si="3"/>
        <v>2021</v>
      </c>
      <c r="L83" s="1">
        <v>44286</v>
      </c>
      <c r="M83" s="2" t="str" cm="1">
        <f t="array" ref="M83">_xlfn.IFS(
N83&lt;500,"Very Low",
N83&lt;1500,"Low",
N83&lt;3000,"Medium",
N83&lt;4000,"High",
TRUE,"Very High"
)</f>
        <v>Medium</v>
      </c>
      <c r="N83">
        <v>2873</v>
      </c>
      <c r="O83" t="s">
        <v>503</v>
      </c>
      <c r="P83" t="s">
        <v>63</v>
      </c>
      <c r="Q83" t="s">
        <v>81</v>
      </c>
      <c r="R83">
        <v>898702</v>
      </c>
      <c r="S83" t="s">
        <v>26</v>
      </c>
    </row>
    <row r="84" spans="1:19" x14ac:dyDescent="0.3">
      <c r="A84" t="s">
        <v>504</v>
      </c>
      <c r="B84" t="s">
        <v>357</v>
      </c>
      <c r="C84" t="s">
        <v>67</v>
      </c>
      <c r="D84" t="s">
        <v>505</v>
      </c>
      <c r="E84" t="s">
        <v>506</v>
      </c>
      <c r="F84" t="s">
        <v>507</v>
      </c>
      <c r="G84">
        <v>617000958008</v>
      </c>
      <c r="H84" s="8" t="str">
        <f t="shared" si="2"/>
        <v>1972</v>
      </c>
      <c r="I84" s="1">
        <v>26387</v>
      </c>
      <c r="J84" t="s">
        <v>22</v>
      </c>
      <c r="K84" s="3" t="str">
        <f t="shared" si="3"/>
        <v>2020</v>
      </c>
      <c r="L84" s="1">
        <v>43874</v>
      </c>
      <c r="M84" s="2" t="str" cm="1">
        <f t="array" ref="M84">_xlfn.IFS(
N84&lt;500,"Very Low",
N84&lt;1500,"Low",
N84&lt;3000,"Medium",
N84&lt;4000,"High",
TRUE,"Very High"
)</f>
        <v>Medium</v>
      </c>
      <c r="N84">
        <v>1697</v>
      </c>
      <c r="O84" t="s">
        <v>508</v>
      </c>
      <c r="P84" t="s">
        <v>133</v>
      </c>
      <c r="Q84" t="s">
        <v>35</v>
      </c>
      <c r="R84">
        <v>51446</v>
      </c>
      <c r="S84" t="s">
        <v>36</v>
      </c>
    </row>
    <row r="85" spans="1:19" x14ac:dyDescent="0.3">
      <c r="A85" t="s">
        <v>509</v>
      </c>
      <c r="B85" t="s">
        <v>241</v>
      </c>
      <c r="C85" t="s">
        <v>84</v>
      </c>
      <c r="D85" t="s">
        <v>510</v>
      </c>
      <c r="E85" t="s">
        <v>511</v>
      </c>
      <c r="F85" t="s">
        <v>512</v>
      </c>
      <c r="G85">
        <v>594751961353</v>
      </c>
      <c r="H85" s="8" t="str">
        <f t="shared" si="2"/>
        <v>1959</v>
      </c>
      <c r="I85" s="1">
        <v>21741</v>
      </c>
      <c r="J85" t="s">
        <v>61</v>
      </c>
      <c r="K85" s="3" t="str">
        <f t="shared" si="3"/>
        <v>2022</v>
      </c>
      <c r="L85" s="1">
        <v>44807</v>
      </c>
      <c r="M85" s="2" t="str" cm="1">
        <f t="array" ref="M85">_xlfn.IFS(
N85&lt;500,"Very Low",
N85&lt;1500,"Low",
N85&lt;3000,"Medium",
N85&lt;4000,"High",
TRUE,"Very High"
)</f>
        <v>High</v>
      </c>
      <c r="N85">
        <v>3418</v>
      </c>
      <c r="O85" t="s">
        <v>513</v>
      </c>
      <c r="P85" t="s">
        <v>417</v>
      </c>
      <c r="Q85" t="s">
        <v>188</v>
      </c>
      <c r="R85">
        <v>913858</v>
      </c>
      <c r="S85" t="s">
        <v>26</v>
      </c>
    </row>
    <row r="86" spans="1:19" x14ac:dyDescent="0.3">
      <c r="A86" t="s">
        <v>514</v>
      </c>
      <c r="B86" t="s">
        <v>135</v>
      </c>
      <c r="C86" t="s">
        <v>162</v>
      </c>
      <c r="D86" t="s">
        <v>515</v>
      </c>
      <c r="E86" t="s">
        <v>516</v>
      </c>
      <c r="F86" t="s">
        <v>517</v>
      </c>
      <c r="G86">
        <v>593541941303</v>
      </c>
      <c r="H86" s="8" t="str">
        <f t="shared" si="2"/>
        <v>1992</v>
      </c>
      <c r="I86" s="1">
        <v>33964</v>
      </c>
      <c r="J86" t="s">
        <v>22</v>
      </c>
      <c r="K86" s="3" t="str">
        <f t="shared" si="3"/>
        <v>2025</v>
      </c>
      <c r="L86" s="1">
        <v>45920</v>
      </c>
      <c r="M86" s="2" t="str" cm="1">
        <f t="array" ref="M86">_xlfn.IFS(
N86&lt;500,"Very Low",
N86&lt;1500,"Low",
N86&lt;3000,"Medium",
N86&lt;4000,"High",
TRUE,"Very High"
)</f>
        <v>High</v>
      </c>
      <c r="N86">
        <v>3503</v>
      </c>
      <c r="O86" t="s">
        <v>518</v>
      </c>
      <c r="P86" t="s">
        <v>111</v>
      </c>
      <c r="Q86" t="s">
        <v>25</v>
      </c>
      <c r="R86">
        <v>740671</v>
      </c>
      <c r="S86" t="s">
        <v>26</v>
      </c>
    </row>
    <row r="87" spans="1:19" x14ac:dyDescent="0.3">
      <c r="A87" t="s">
        <v>519</v>
      </c>
      <c r="B87" t="s">
        <v>259</v>
      </c>
      <c r="C87" t="s">
        <v>39</v>
      </c>
      <c r="D87" t="s">
        <v>520</v>
      </c>
      <c r="E87" t="s">
        <v>521</v>
      </c>
      <c r="F87" t="s">
        <v>522</v>
      </c>
      <c r="G87">
        <v>821736536099</v>
      </c>
      <c r="H87" s="8" t="str">
        <f t="shared" si="2"/>
        <v>1965</v>
      </c>
      <c r="I87" s="1">
        <v>23796</v>
      </c>
      <c r="J87" t="s">
        <v>61</v>
      </c>
      <c r="K87" s="3" t="str">
        <f t="shared" si="3"/>
        <v>2020</v>
      </c>
      <c r="L87" s="1">
        <v>44172</v>
      </c>
      <c r="M87" s="2" t="str" cm="1">
        <f t="array" ref="M87">_xlfn.IFS(
N87&lt;500,"Very Low",
N87&lt;1500,"Low",
N87&lt;3000,"Medium",
N87&lt;4000,"High",
TRUE,"Very High"
)</f>
        <v>Medium</v>
      </c>
      <c r="N87">
        <v>1911</v>
      </c>
      <c r="O87" t="s">
        <v>523</v>
      </c>
      <c r="P87" t="s">
        <v>24</v>
      </c>
      <c r="Q87" t="s">
        <v>337</v>
      </c>
      <c r="R87">
        <v>477615</v>
      </c>
      <c r="S87" t="s">
        <v>26</v>
      </c>
    </row>
    <row r="88" spans="1:19" x14ac:dyDescent="0.3">
      <c r="A88" t="s">
        <v>524</v>
      </c>
      <c r="B88" t="s">
        <v>169</v>
      </c>
      <c r="C88" t="s">
        <v>162</v>
      </c>
      <c r="D88" t="s">
        <v>525</v>
      </c>
      <c r="E88" t="s">
        <v>526</v>
      </c>
      <c r="F88" t="s">
        <v>527</v>
      </c>
      <c r="G88">
        <v>805560862841</v>
      </c>
      <c r="H88" s="8" t="str">
        <f t="shared" si="2"/>
        <v>1971</v>
      </c>
      <c r="I88" s="1">
        <v>26102</v>
      </c>
      <c r="J88" t="s">
        <v>61</v>
      </c>
      <c r="K88" s="3" t="str">
        <f t="shared" si="3"/>
        <v>2024</v>
      </c>
      <c r="L88" s="1">
        <v>45355</v>
      </c>
      <c r="M88" s="2" t="str" cm="1">
        <f t="array" ref="M88">_xlfn.IFS(
N88&lt;500,"Very Low",
N88&lt;1500,"Low",
N88&lt;3000,"Medium",
N88&lt;4000,"High",
TRUE,"Very High"
)</f>
        <v>Medium</v>
      </c>
      <c r="N88">
        <v>2202</v>
      </c>
      <c r="O88" t="s">
        <v>180</v>
      </c>
      <c r="P88" t="s">
        <v>302</v>
      </c>
      <c r="Q88" t="s">
        <v>81</v>
      </c>
      <c r="R88">
        <v>820413</v>
      </c>
      <c r="S88" t="s">
        <v>26</v>
      </c>
    </row>
    <row r="89" spans="1:19" x14ac:dyDescent="0.3">
      <c r="A89" t="s">
        <v>528</v>
      </c>
      <c r="B89" t="s">
        <v>270</v>
      </c>
      <c r="C89" t="s">
        <v>84</v>
      </c>
      <c r="D89" t="s">
        <v>529</v>
      </c>
      <c r="E89" t="s">
        <v>530</v>
      </c>
      <c r="F89" t="s">
        <v>531</v>
      </c>
      <c r="G89">
        <v>899514036351</v>
      </c>
      <c r="H89" s="8" t="str">
        <f t="shared" si="2"/>
        <v>1950</v>
      </c>
      <c r="I89" s="1">
        <v>18447</v>
      </c>
      <c r="J89" t="s">
        <v>52</v>
      </c>
      <c r="K89" s="3" t="str">
        <f t="shared" si="3"/>
        <v>2019</v>
      </c>
      <c r="L89" s="1">
        <v>43748</v>
      </c>
      <c r="M89" s="2" t="str" cm="1">
        <f t="array" ref="M89">_xlfn.IFS(
N89&lt;500,"Very Low",
N89&lt;1500,"Low",
N89&lt;3000,"Medium",
N89&lt;4000,"High",
TRUE,"Very High"
)</f>
        <v>High</v>
      </c>
      <c r="N89">
        <v>3833</v>
      </c>
      <c r="O89" t="s">
        <v>532</v>
      </c>
      <c r="P89" t="s">
        <v>24</v>
      </c>
      <c r="Q89" t="s">
        <v>25</v>
      </c>
      <c r="R89">
        <v>123672</v>
      </c>
      <c r="S89" t="s">
        <v>26</v>
      </c>
    </row>
    <row r="90" spans="1:19" x14ac:dyDescent="0.3">
      <c r="A90" t="s">
        <v>533</v>
      </c>
      <c r="B90" t="s">
        <v>17</v>
      </c>
      <c r="C90" t="s">
        <v>253</v>
      </c>
      <c r="D90" t="s">
        <v>534</v>
      </c>
      <c r="E90" t="s">
        <v>535</v>
      </c>
      <c r="F90" t="s">
        <v>536</v>
      </c>
      <c r="G90">
        <v>176172071017</v>
      </c>
      <c r="H90" s="8" t="str">
        <f t="shared" si="2"/>
        <v>1988</v>
      </c>
      <c r="I90" s="1">
        <v>32175</v>
      </c>
      <c r="J90" t="s">
        <v>61</v>
      </c>
      <c r="K90" s="3" t="str">
        <f t="shared" si="3"/>
        <v>2019</v>
      </c>
      <c r="L90" s="1">
        <v>43766</v>
      </c>
      <c r="M90" s="2" t="str" cm="1">
        <f t="array" ref="M90">_xlfn.IFS(
N90&lt;500,"Very Low",
N90&lt;1500,"Low",
N90&lt;3000,"Medium",
N90&lt;4000,"High",
TRUE,"Very High"
)</f>
        <v>Low</v>
      </c>
      <c r="N90">
        <v>893</v>
      </c>
      <c r="O90" t="s">
        <v>537</v>
      </c>
      <c r="P90" t="s">
        <v>417</v>
      </c>
      <c r="Q90" t="s">
        <v>97</v>
      </c>
      <c r="R90">
        <v>843110</v>
      </c>
      <c r="S90" t="s">
        <v>26</v>
      </c>
    </row>
    <row r="91" spans="1:19" x14ac:dyDescent="0.3">
      <c r="A91" t="s">
        <v>538</v>
      </c>
      <c r="B91" t="s">
        <v>169</v>
      </c>
      <c r="C91" t="s">
        <v>539</v>
      </c>
      <c r="D91" t="s">
        <v>540</v>
      </c>
      <c r="E91" t="s">
        <v>541</v>
      </c>
      <c r="F91" t="s">
        <v>542</v>
      </c>
      <c r="G91">
        <v>624270744686</v>
      </c>
      <c r="H91" s="8" t="str">
        <f t="shared" si="2"/>
        <v>1944</v>
      </c>
      <c r="I91" s="1">
        <v>16432</v>
      </c>
      <c r="J91" t="s">
        <v>61</v>
      </c>
      <c r="K91" s="3" t="str">
        <f t="shared" si="3"/>
        <v>2019</v>
      </c>
      <c r="L91" s="1">
        <v>43571</v>
      </c>
      <c r="M91" s="2" t="str" cm="1">
        <f t="array" ref="M91">_xlfn.IFS(
N91&lt;500,"Very Low",
N91&lt;1500,"Low",
N91&lt;3000,"Medium",
N91&lt;4000,"High",
TRUE,"Very High"
)</f>
        <v>Very Low</v>
      </c>
      <c r="N91">
        <v>416</v>
      </c>
      <c r="O91" t="s">
        <v>543</v>
      </c>
      <c r="P91" t="s">
        <v>544</v>
      </c>
      <c r="Q91" t="s">
        <v>25</v>
      </c>
      <c r="R91">
        <v>178630</v>
      </c>
      <c r="S91" t="s">
        <v>26</v>
      </c>
    </row>
    <row r="92" spans="1:19" x14ac:dyDescent="0.3">
      <c r="A92" t="s">
        <v>545</v>
      </c>
      <c r="B92" t="s">
        <v>169</v>
      </c>
      <c r="C92" t="s">
        <v>57</v>
      </c>
      <c r="D92" t="s">
        <v>546</v>
      </c>
      <c r="E92" t="s">
        <v>547</v>
      </c>
      <c r="F92" t="s">
        <v>548</v>
      </c>
      <c r="G92">
        <v>689504376619</v>
      </c>
      <c r="H92" s="8" t="str">
        <f t="shared" si="2"/>
        <v>1977</v>
      </c>
      <c r="I92" s="1">
        <v>28419</v>
      </c>
      <c r="J92" t="s">
        <v>52</v>
      </c>
      <c r="K92" s="3" t="str">
        <f t="shared" si="3"/>
        <v>2019</v>
      </c>
      <c r="L92" s="1">
        <v>43562</v>
      </c>
      <c r="M92" s="2" t="str" cm="1">
        <f t="array" ref="M92">_xlfn.IFS(
N92&lt;500,"Very Low",
N92&lt;1500,"Low",
N92&lt;3000,"Medium",
N92&lt;4000,"High",
TRUE,"Very High"
)</f>
        <v>High</v>
      </c>
      <c r="N92">
        <v>3181</v>
      </c>
      <c r="O92" t="s">
        <v>503</v>
      </c>
      <c r="P92" t="s">
        <v>174</v>
      </c>
      <c r="Q92" t="s">
        <v>200</v>
      </c>
      <c r="R92">
        <v>15564</v>
      </c>
      <c r="S92" t="s">
        <v>36</v>
      </c>
    </row>
    <row r="93" spans="1:19" x14ac:dyDescent="0.3">
      <c r="A93" t="s">
        <v>549</v>
      </c>
      <c r="B93" t="s">
        <v>114</v>
      </c>
      <c r="C93" t="s">
        <v>18</v>
      </c>
      <c r="D93" t="s">
        <v>550</v>
      </c>
      <c r="E93" t="s">
        <v>551</v>
      </c>
      <c r="F93" t="s">
        <v>552</v>
      </c>
      <c r="G93">
        <v>878128344397</v>
      </c>
      <c r="H93" s="8" t="str">
        <f t="shared" si="2"/>
        <v>1951</v>
      </c>
      <c r="I93" s="1">
        <v>18845</v>
      </c>
      <c r="J93" t="s">
        <v>22</v>
      </c>
      <c r="K93" s="3" t="str">
        <f t="shared" si="3"/>
        <v>2025</v>
      </c>
      <c r="L93" s="1">
        <v>45757</v>
      </c>
      <c r="M93" s="2" t="str" cm="1">
        <f t="array" ref="M93">_xlfn.IFS(
N93&lt;500,"Very Low",
N93&lt;1500,"Low",
N93&lt;3000,"Medium",
N93&lt;4000,"High",
TRUE,"Very High"
)</f>
        <v>Low</v>
      </c>
      <c r="N93">
        <v>720</v>
      </c>
      <c r="O93" t="s">
        <v>553</v>
      </c>
      <c r="P93" t="s">
        <v>63</v>
      </c>
      <c r="Q93" t="s">
        <v>205</v>
      </c>
      <c r="R93">
        <v>947816</v>
      </c>
      <c r="S93" t="s">
        <v>26</v>
      </c>
    </row>
    <row r="94" spans="1:19" x14ac:dyDescent="0.3">
      <c r="A94" t="s">
        <v>554</v>
      </c>
      <c r="B94" t="s">
        <v>357</v>
      </c>
      <c r="C94" t="s">
        <v>115</v>
      </c>
      <c r="D94" t="s">
        <v>555</v>
      </c>
      <c r="E94" t="s">
        <v>556</v>
      </c>
      <c r="F94" t="s">
        <v>557</v>
      </c>
      <c r="G94">
        <v>172940930623</v>
      </c>
      <c r="H94" s="8" t="str">
        <f t="shared" si="2"/>
        <v>1997</v>
      </c>
      <c r="I94" s="1">
        <v>35715</v>
      </c>
      <c r="J94" t="s">
        <v>52</v>
      </c>
      <c r="K94" s="3" t="str">
        <f t="shared" si="3"/>
        <v>2018</v>
      </c>
      <c r="L94" s="1">
        <v>43173</v>
      </c>
      <c r="M94" s="2" t="str" cm="1">
        <f t="array" ref="M94">_xlfn.IFS(
N94&lt;500,"Very Low",
N94&lt;1500,"Low",
N94&lt;3000,"Medium",
N94&lt;4000,"High",
TRUE,"Very High"
)</f>
        <v>Very High</v>
      </c>
      <c r="N94">
        <v>4376</v>
      </c>
      <c r="O94" t="s">
        <v>558</v>
      </c>
      <c r="P94" t="s">
        <v>174</v>
      </c>
      <c r="Q94" t="s">
        <v>73</v>
      </c>
      <c r="R94">
        <v>60376</v>
      </c>
      <c r="S94" t="s">
        <v>36</v>
      </c>
    </row>
    <row r="95" spans="1:19" x14ac:dyDescent="0.3">
      <c r="A95" t="s">
        <v>559</v>
      </c>
      <c r="B95" t="s">
        <v>114</v>
      </c>
      <c r="C95" t="s">
        <v>67</v>
      </c>
      <c r="D95" t="s">
        <v>560</v>
      </c>
      <c r="E95" t="s">
        <v>561</v>
      </c>
      <c r="F95" t="s">
        <v>562</v>
      </c>
      <c r="G95">
        <v>234524953018</v>
      </c>
      <c r="H95" s="8" t="str">
        <f t="shared" si="2"/>
        <v>1990</v>
      </c>
      <c r="I95" s="1">
        <v>33085</v>
      </c>
      <c r="J95" t="s">
        <v>22</v>
      </c>
      <c r="K95" s="3" t="str">
        <f t="shared" si="3"/>
        <v>2018</v>
      </c>
      <c r="L95" s="1">
        <v>43238</v>
      </c>
      <c r="M95" s="2" t="str" cm="1">
        <f t="array" ref="M95">_xlfn.IFS(
N95&lt;500,"Very Low",
N95&lt;1500,"Low",
N95&lt;3000,"Medium",
N95&lt;4000,"High",
TRUE,"Very High"
)</f>
        <v>Very High</v>
      </c>
      <c r="N95">
        <v>4913</v>
      </c>
      <c r="O95" t="s">
        <v>563</v>
      </c>
      <c r="P95" t="s">
        <v>24</v>
      </c>
      <c r="Q95" t="s">
        <v>81</v>
      </c>
      <c r="R95">
        <v>843809</v>
      </c>
      <c r="S95" t="s">
        <v>26</v>
      </c>
    </row>
    <row r="96" spans="1:19" x14ac:dyDescent="0.3">
      <c r="A96" t="s">
        <v>564</v>
      </c>
      <c r="B96" t="s">
        <v>114</v>
      </c>
      <c r="C96" t="s">
        <v>92</v>
      </c>
      <c r="D96" t="s">
        <v>565</v>
      </c>
      <c r="E96" t="s">
        <v>566</v>
      </c>
      <c r="F96" t="s">
        <v>567</v>
      </c>
      <c r="G96">
        <v>891399713188</v>
      </c>
      <c r="H96" s="8" t="str">
        <f t="shared" si="2"/>
        <v>1997</v>
      </c>
      <c r="I96" s="1">
        <v>35651</v>
      </c>
      <c r="J96" t="s">
        <v>52</v>
      </c>
      <c r="K96" s="3" t="str">
        <f t="shared" si="3"/>
        <v>2024</v>
      </c>
      <c r="L96" s="1">
        <v>45510</v>
      </c>
      <c r="M96" s="2" t="str" cm="1">
        <f t="array" ref="M96">_xlfn.IFS(
N96&lt;500,"Very Low",
N96&lt;1500,"Low",
N96&lt;3000,"Medium",
N96&lt;4000,"High",
TRUE,"Very High"
)</f>
        <v>Very High</v>
      </c>
      <c r="N96">
        <v>4073</v>
      </c>
      <c r="O96" t="s">
        <v>568</v>
      </c>
      <c r="P96" t="s">
        <v>89</v>
      </c>
      <c r="Q96" t="s">
        <v>167</v>
      </c>
      <c r="R96">
        <v>39258</v>
      </c>
      <c r="S96" t="s">
        <v>36</v>
      </c>
    </row>
    <row r="97" spans="1:19" x14ac:dyDescent="0.3">
      <c r="A97" t="s">
        <v>569</v>
      </c>
      <c r="B97" t="s">
        <v>47</v>
      </c>
      <c r="C97" t="s">
        <v>18</v>
      </c>
      <c r="D97" t="s">
        <v>570</v>
      </c>
      <c r="E97" t="s">
        <v>571</v>
      </c>
      <c r="F97" t="s">
        <v>572</v>
      </c>
      <c r="G97">
        <v>766135117459</v>
      </c>
      <c r="H97" s="8" t="str">
        <f t="shared" si="2"/>
        <v>1954</v>
      </c>
      <c r="I97" s="1">
        <v>19776</v>
      </c>
      <c r="J97" t="s">
        <v>61</v>
      </c>
      <c r="K97" s="3" t="str">
        <f t="shared" si="3"/>
        <v>2020</v>
      </c>
      <c r="L97" s="1">
        <v>44100</v>
      </c>
      <c r="M97" s="2" t="str" cm="1">
        <f t="array" ref="M97">_xlfn.IFS(
N97&lt;500,"Very Low",
N97&lt;1500,"Low",
N97&lt;3000,"Medium",
N97&lt;4000,"High",
TRUE,"Very High"
)</f>
        <v>Medium</v>
      </c>
      <c r="N97">
        <v>1754</v>
      </c>
      <c r="O97" t="s">
        <v>573</v>
      </c>
      <c r="P97" t="s">
        <v>417</v>
      </c>
      <c r="Q97" t="s">
        <v>25</v>
      </c>
      <c r="R97">
        <v>183352</v>
      </c>
      <c r="S97" t="s">
        <v>26</v>
      </c>
    </row>
    <row r="98" spans="1:19" x14ac:dyDescent="0.3">
      <c r="A98" t="s">
        <v>574</v>
      </c>
      <c r="B98" t="s">
        <v>259</v>
      </c>
      <c r="C98" t="s">
        <v>75</v>
      </c>
      <c r="D98" t="s">
        <v>575</v>
      </c>
      <c r="E98" t="s">
        <v>576</v>
      </c>
      <c r="F98" t="s">
        <v>577</v>
      </c>
      <c r="G98">
        <v>530469646648</v>
      </c>
      <c r="H98" s="8" t="str">
        <f t="shared" si="2"/>
        <v>1996</v>
      </c>
      <c r="I98" s="1">
        <v>35158</v>
      </c>
      <c r="J98" t="s">
        <v>22</v>
      </c>
      <c r="K98" s="3" t="str">
        <f t="shared" si="3"/>
        <v>2025</v>
      </c>
      <c r="L98" s="1">
        <v>45867</v>
      </c>
      <c r="M98" s="2" t="str" cm="1">
        <f t="array" ref="M98">_xlfn.IFS(
N98&lt;500,"Very Low",
N98&lt;1500,"Low",
N98&lt;3000,"Medium",
N98&lt;4000,"High",
TRUE,"Very High"
)</f>
        <v>High</v>
      </c>
      <c r="N98">
        <v>3541</v>
      </c>
      <c r="O98" t="s">
        <v>578</v>
      </c>
      <c r="P98" t="s">
        <v>211</v>
      </c>
      <c r="Q98" t="s">
        <v>73</v>
      </c>
      <c r="R98">
        <v>83345</v>
      </c>
      <c r="S98" t="s">
        <v>36</v>
      </c>
    </row>
    <row r="99" spans="1:19" x14ac:dyDescent="0.3">
      <c r="A99" t="s">
        <v>579</v>
      </c>
      <c r="B99" t="s">
        <v>342</v>
      </c>
      <c r="C99" t="s">
        <v>190</v>
      </c>
      <c r="D99" t="s">
        <v>580</v>
      </c>
      <c r="E99" t="s">
        <v>581</v>
      </c>
      <c r="F99" t="s">
        <v>582</v>
      </c>
      <c r="G99">
        <v>382743672990</v>
      </c>
      <c r="H99" s="8" t="str">
        <f t="shared" si="2"/>
        <v>1956</v>
      </c>
      <c r="I99" s="1">
        <v>20769</v>
      </c>
      <c r="J99" t="s">
        <v>61</v>
      </c>
      <c r="K99" s="3" t="str">
        <f t="shared" si="3"/>
        <v>2022</v>
      </c>
      <c r="L99" s="1">
        <v>44839</v>
      </c>
      <c r="M99" s="2" t="str" cm="1">
        <f t="array" ref="M99">_xlfn.IFS(
N99&lt;500,"Very Low",
N99&lt;1500,"Low",
N99&lt;3000,"Medium",
N99&lt;4000,"High",
TRUE,"Very High"
)</f>
        <v>Low</v>
      </c>
      <c r="N99">
        <v>1031</v>
      </c>
      <c r="O99" t="s">
        <v>583</v>
      </c>
      <c r="P99" t="s">
        <v>302</v>
      </c>
      <c r="Q99" t="s">
        <v>337</v>
      </c>
      <c r="R99">
        <v>255090</v>
      </c>
      <c r="S99" t="s">
        <v>26</v>
      </c>
    </row>
    <row r="100" spans="1:19" x14ac:dyDescent="0.3">
      <c r="A100" t="s">
        <v>584</v>
      </c>
      <c r="B100" t="s">
        <v>489</v>
      </c>
      <c r="C100" t="s">
        <v>136</v>
      </c>
      <c r="D100" t="s">
        <v>585</v>
      </c>
      <c r="E100" t="s">
        <v>586</v>
      </c>
      <c r="F100" t="s">
        <v>587</v>
      </c>
      <c r="G100">
        <v>230419966238</v>
      </c>
      <c r="H100" s="8" t="str">
        <f t="shared" si="2"/>
        <v>1954</v>
      </c>
      <c r="I100" s="1">
        <v>19803</v>
      </c>
      <c r="J100" t="s">
        <v>61</v>
      </c>
      <c r="K100" s="3" t="str">
        <f t="shared" si="3"/>
        <v>2019</v>
      </c>
      <c r="L100" s="1">
        <v>43597</v>
      </c>
      <c r="M100" s="2" t="str" cm="1">
        <f t="array" ref="M100">_xlfn.IFS(
N100&lt;500,"Very Low",
N100&lt;1500,"Low",
N100&lt;3000,"Medium",
N100&lt;4000,"High",
TRUE,"Very High"
)</f>
        <v>Very Low</v>
      </c>
      <c r="N100">
        <v>409</v>
      </c>
      <c r="O100" t="s">
        <v>588</v>
      </c>
      <c r="P100" t="s">
        <v>63</v>
      </c>
      <c r="Q100" t="s">
        <v>112</v>
      </c>
      <c r="R100">
        <v>406599</v>
      </c>
      <c r="S100" t="s">
        <v>26</v>
      </c>
    </row>
    <row r="101" spans="1:19" x14ac:dyDescent="0.3">
      <c r="A101" t="s">
        <v>589</v>
      </c>
      <c r="B101" t="s">
        <v>91</v>
      </c>
      <c r="C101" t="s">
        <v>590</v>
      </c>
      <c r="D101" t="s">
        <v>591</v>
      </c>
      <c r="E101" t="s">
        <v>592</v>
      </c>
      <c r="F101" t="s">
        <v>593</v>
      </c>
      <c r="G101">
        <v>539452088003</v>
      </c>
      <c r="H101" s="8" t="str">
        <f t="shared" si="2"/>
        <v>1980</v>
      </c>
      <c r="I101" s="1">
        <v>29425</v>
      </c>
      <c r="J101" t="s">
        <v>52</v>
      </c>
      <c r="K101" s="3" t="str">
        <f t="shared" si="3"/>
        <v>2024</v>
      </c>
      <c r="L101" s="1">
        <v>45338</v>
      </c>
      <c r="M101" s="2" t="str" cm="1">
        <f t="array" ref="M101">_xlfn.IFS(
N101&lt;500,"Very Low",
N101&lt;1500,"Low",
N101&lt;3000,"Medium",
N101&lt;4000,"High",
TRUE,"Very High"
)</f>
        <v>Medium</v>
      </c>
      <c r="N101">
        <v>1580</v>
      </c>
      <c r="O101" t="s">
        <v>594</v>
      </c>
      <c r="P101" t="s">
        <v>63</v>
      </c>
      <c r="Q101" t="s">
        <v>81</v>
      </c>
      <c r="R101">
        <v>671353</v>
      </c>
      <c r="S101" t="s">
        <v>26</v>
      </c>
    </row>
    <row r="102" spans="1:19" x14ac:dyDescent="0.3">
      <c r="A102" t="s">
        <v>595</v>
      </c>
      <c r="B102" t="s">
        <v>252</v>
      </c>
      <c r="C102" t="s">
        <v>48</v>
      </c>
      <c r="D102" t="s">
        <v>500</v>
      </c>
      <c r="E102" t="s">
        <v>596</v>
      </c>
      <c r="F102" t="s">
        <v>597</v>
      </c>
      <c r="G102">
        <v>280899824915</v>
      </c>
      <c r="H102" s="8" t="str">
        <f t="shared" si="2"/>
        <v>1949</v>
      </c>
      <c r="I102" s="1">
        <v>18142</v>
      </c>
      <c r="J102" t="s">
        <v>61</v>
      </c>
      <c r="K102" s="3" t="str">
        <f t="shared" si="3"/>
        <v>2019</v>
      </c>
      <c r="L102" s="1">
        <v>43828</v>
      </c>
      <c r="M102" s="2" t="str" cm="1">
        <f t="array" ref="M102">_xlfn.IFS(
N102&lt;500,"Very Low",
N102&lt;1500,"Low",
N102&lt;3000,"Medium",
N102&lt;4000,"High",
TRUE,"Very High"
)</f>
        <v>Medium</v>
      </c>
      <c r="N102">
        <v>2982</v>
      </c>
      <c r="O102" t="s">
        <v>598</v>
      </c>
      <c r="P102" t="s">
        <v>432</v>
      </c>
      <c r="Q102" t="s">
        <v>200</v>
      </c>
      <c r="R102">
        <v>47043</v>
      </c>
      <c r="S102" t="s">
        <v>36</v>
      </c>
    </row>
    <row r="103" spans="1:19" x14ac:dyDescent="0.3">
      <c r="A103" t="s">
        <v>599</v>
      </c>
      <c r="B103" t="s">
        <v>114</v>
      </c>
      <c r="C103" t="s">
        <v>287</v>
      </c>
      <c r="D103" t="s">
        <v>600</v>
      </c>
      <c r="E103" t="s">
        <v>601</v>
      </c>
      <c r="F103" t="s">
        <v>602</v>
      </c>
      <c r="G103">
        <v>539082603627</v>
      </c>
      <c r="H103" s="8" t="str">
        <f t="shared" si="2"/>
        <v>1954</v>
      </c>
      <c r="I103" s="1">
        <v>19921</v>
      </c>
      <c r="J103" t="s">
        <v>61</v>
      </c>
      <c r="K103" s="3" t="str">
        <f t="shared" si="3"/>
        <v>2020</v>
      </c>
      <c r="L103" s="1">
        <v>44134</v>
      </c>
      <c r="M103" s="2" t="str" cm="1">
        <f t="array" ref="M103">_xlfn.IFS(
N103&lt;500,"Very Low",
N103&lt;1500,"Low",
N103&lt;3000,"Medium",
N103&lt;4000,"High",
TRUE,"Very High"
)</f>
        <v>Medium</v>
      </c>
      <c r="N103">
        <v>2234</v>
      </c>
      <c r="O103" t="s">
        <v>603</v>
      </c>
      <c r="P103" t="s">
        <v>111</v>
      </c>
      <c r="Q103" t="s">
        <v>112</v>
      </c>
      <c r="R103">
        <v>605724</v>
      </c>
      <c r="S103" t="s">
        <v>26</v>
      </c>
    </row>
    <row r="104" spans="1:19" x14ac:dyDescent="0.3">
      <c r="A104" t="s">
        <v>604</v>
      </c>
      <c r="B104" t="s">
        <v>489</v>
      </c>
      <c r="C104" t="s">
        <v>48</v>
      </c>
      <c r="D104" t="s">
        <v>605</v>
      </c>
      <c r="E104" t="s">
        <v>606</v>
      </c>
      <c r="F104" t="s">
        <v>607</v>
      </c>
      <c r="G104">
        <v>836114115439</v>
      </c>
      <c r="H104" s="8" t="str">
        <f t="shared" si="2"/>
        <v>1998</v>
      </c>
      <c r="I104" s="1">
        <v>35915</v>
      </c>
      <c r="J104" t="s">
        <v>22</v>
      </c>
      <c r="K104" s="3" t="str">
        <f t="shared" si="3"/>
        <v>2023</v>
      </c>
      <c r="L104" s="1">
        <v>45230</v>
      </c>
      <c r="M104" s="2" t="str" cm="1">
        <f t="array" ref="M104">_xlfn.IFS(
N104&lt;500,"Very Low",
N104&lt;1500,"Low",
N104&lt;3000,"Medium",
N104&lt;4000,"High",
TRUE,"Very High"
)</f>
        <v>Very High</v>
      </c>
      <c r="N104">
        <v>4062</v>
      </c>
      <c r="O104" t="s">
        <v>608</v>
      </c>
      <c r="P104" t="s">
        <v>211</v>
      </c>
      <c r="Q104" t="s">
        <v>35</v>
      </c>
      <c r="R104">
        <v>78587</v>
      </c>
      <c r="S104" t="s">
        <v>36</v>
      </c>
    </row>
    <row r="105" spans="1:19" x14ac:dyDescent="0.3">
      <c r="A105" t="s">
        <v>609</v>
      </c>
      <c r="B105" t="s">
        <v>378</v>
      </c>
      <c r="C105" t="s">
        <v>115</v>
      </c>
      <c r="D105" t="s">
        <v>610</v>
      </c>
      <c r="E105" t="s">
        <v>611</v>
      </c>
      <c r="F105" t="s">
        <v>612</v>
      </c>
      <c r="G105">
        <v>787150501749</v>
      </c>
      <c r="H105" s="8" t="str">
        <f t="shared" si="2"/>
        <v>1952</v>
      </c>
      <c r="I105" s="1">
        <v>19150</v>
      </c>
      <c r="J105" t="s">
        <v>52</v>
      </c>
      <c r="K105" s="3" t="str">
        <f t="shared" si="3"/>
        <v>2024</v>
      </c>
      <c r="L105" s="1">
        <v>45414</v>
      </c>
      <c r="M105" s="2" t="str" cm="1">
        <f t="array" ref="M105">_xlfn.IFS(
N105&lt;500,"Very Low",
N105&lt;1500,"Low",
N105&lt;3000,"Medium",
N105&lt;4000,"High",
TRUE,"Very High"
)</f>
        <v>Very Low</v>
      </c>
      <c r="N105">
        <v>147</v>
      </c>
      <c r="O105" t="s">
        <v>613</v>
      </c>
      <c r="P105" t="s">
        <v>72</v>
      </c>
      <c r="Q105" t="s">
        <v>35</v>
      </c>
      <c r="R105">
        <v>61667</v>
      </c>
      <c r="S105" t="s">
        <v>36</v>
      </c>
    </row>
    <row r="106" spans="1:19" x14ac:dyDescent="0.3">
      <c r="A106" t="s">
        <v>614</v>
      </c>
      <c r="B106" t="s">
        <v>154</v>
      </c>
      <c r="C106" t="s">
        <v>590</v>
      </c>
      <c r="D106" t="s">
        <v>615</v>
      </c>
      <c r="E106" t="s">
        <v>616</v>
      </c>
      <c r="F106" t="s">
        <v>617</v>
      </c>
      <c r="G106">
        <v>731798293721</v>
      </c>
      <c r="H106" s="8" t="str">
        <f t="shared" si="2"/>
        <v>1974</v>
      </c>
      <c r="I106" s="1">
        <v>27320</v>
      </c>
      <c r="J106" t="s">
        <v>61</v>
      </c>
      <c r="K106" s="3" t="str">
        <f t="shared" si="3"/>
        <v>2021</v>
      </c>
      <c r="L106" s="1">
        <v>44305</v>
      </c>
      <c r="M106" s="2" t="str" cm="1">
        <f t="array" ref="M106">_xlfn.IFS(
N106&lt;500,"Very Low",
N106&lt;1500,"Low",
N106&lt;3000,"Medium",
N106&lt;4000,"High",
TRUE,"Very High"
)</f>
        <v>Very High</v>
      </c>
      <c r="N106">
        <v>4708</v>
      </c>
      <c r="O106" t="s">
        <v>618</v>
      </c>
      <c r="P106" t="s">
        <v>211</v>
      </c>
      <c r="Q106" t="s">
        <v>45</v>
      </c>
      <c r="R106">
        <v>47422</v>
      </c>
      <c r="S106" t="s">
        <v>36</v>
      </c>
    </row>
    <row r="107" spans="1:19" x14ac:dyDescent="0.3">
      <c r="A107" t="s">
        <v>619</v>
      </c>
      <c r="B107" t="s">
        <v>114</v>
      </c>
      <c r="C107" t="s">
        <v>590</v>
      </c>
      <c r="D107" t="s">
        <v>620</v>
      </c>
      <c r="E107" t="s">
        <v>621</v>
      </c>
      <c r="F107" t="s">
        <v>622</v>
      </c>
      <c r="G107">
        <v>462277046046</v>
      </c>
      <c r="H107" s="8" t="str">
        <f t="shared" si="2"/>
        <v>1979</v>
      </c>
      <c r="I107" s="1">
        <v>28870</v>
      </c>
      <c r="J107" t="s">
        <v>61</v>
      </c>
      <c r="K107" s="3" t="str">
        <f t="shared" si="3"/>
        <v>2025</v>
      </c>
      <c r="L107" s="1">
        <v>45743</v>
      </c>
      <c r="M107" s="2" t="str" cm="1">
        <f t="array" ref="M107">_xlfn.IFS(
N107&lt;500,"Very Low",
N107&lt;1500,"Low",
N107&lt;3000,"Medium",
N107&lt;4000,"High",
TRUE,"Very High"
)</f>
        <v>Very High</v>
      </c>
      <c r="N107">
        <v>4808</v>
      </c>
      <c r="O107" t="s">
        <v>623</v>
      </c>
      <c r="P107" t="s">
        <v>89</v>
      </c>
      <c r="Q107" t="s">
        <v>73</v>
      </c>
      <c r="R107">
        <v>10176</v>
      </c>
      <c r="S107" t="s">
        <v>36</v>
      </c>
    </row>
    <row r="108" spans="1:19" x14ac:dyDescent="0.3">
      <c r="A108" t="s">
        <v>624</v>
      </c>
      <c r="B108" t="s">
        <v>154</v>
      </c>
      <c r="C108" t="s">
        <v>539</v>
      </c>
      <c r="D108" t="s">
        <v>625</v>
      </c>
      <c r="E108" t="s">
        <v>626</v>
      </c>
      <c r="F108" t="s">
        <v>627</v>
      </c>
      <c r="G108">
        <v>837438806309</v>
      </c>
      <c r="H108" s="8" t="str">
        <f t="shared" si="2"/>
        <v>1960</v>
      </c>
      <c r="I108" s="1">
        <v>22182</v>
      </c>
      <c r="J108" t="s">
        <v>52</v>
      </c>
      <c r="K108" s="3" t="str">
        <f t="shared" si="3"/>
        <v>2020</v>
      </c>
      <c r="L108" s="1">
        <v>44055</v>
      </c>
      <c r="M108" s="2" t="str" cm="1">
        <f t="array" ref="M108">_xlfn.IFS(
N108&lt;500,"Very Low",
N108&lt;1500,"Low",
N108&lt;3000,"Medium",
N108&lt;4000,"High",
TRUE,"Very High"
)</f>
        <v>Medium</v>
      </c>
      <c r="N108">
        <v>2641</v>
      </c>
      <c r="O108" t="s">
        <v>628</v>
      </c>
      <c r="P108" t="s">
        <v>302</v>
      </c>
      <c r="Q108" t="s">
        <v>112</v>
      </c>
      <c r="R108">
        <v>500507</v>
      </c>
      <c r="S108" t="s">
        <v>26</v>
      </c>
    </row>
    <row r="109" spans="1:19" x14ac:dyDescent="0.3">
      <c r="A109" t="s">
        <v>629</v>
      </c>
      <c r="B109" t="s">
        <v>402</v>
      </c>
      <c r="C109" t="s">
        <v>162</v>
      </c>
      <c r="D109" t="s">
        <v>630</v>
      </c>
      <c r="E109" t="s">
        <v>631</v>
      </c>
      <c r="F109" t="s">
        <v>632</v>
      </c>
      <c r="G109">
        <v>264793421282</v>
      </c>
      <c r="H109" s="8" t="str">
        <f t="shared" si="2"/>
        <v>1996</v>
      </c>
      <c r="I109" s="1">
        <v>35291</v>
      </c>
      <c r="J109" t="s">
        <v>52</v>
      </c>
      <c r="K109" s="3" t="str">
        <f t="shared" si="3"/>
        <v>2024</v>
      </c>
      <c r="L109" s="1">
        <v>45536</v>
      </c>
      <c r="M109" s="2" t="str" cm="1">
        <f t="array" ref="M109">_xlfn.IFS(
N109&lt;500,"Very Low",
N109&lt;1500,"Low",
N109&lt;3000,"Medium",
N109&lt;4000,"High",
TRUE,"Very High"
)</f>
        <v>Medium</v>
      </c>
      <c r="N109">
        <v>2384</v>
      </c>
      <c r="O109" t="s">
        <v>633</v>
      </c>
      <c r="P109" t="s">
        <v>285</v>
      </c>
      <c r="Q109" t="s">
        <v>147</v>
      </c>
      <c r="R109">
        <v>446626</v>
      </c>
      <c r="S109" t="s">
        <v>26</v>
      </c>
    </row>
    <row r="110" spans="1:19" x14ac:dyDescent="0.3">
      <c r="A110" t="s">
        <v>634</v>
      </c>
      <c r="B110" t="s">
        <v>259</v>
      </c>
      <c r="C110" t="s">
        <v>590</v>
      </c>
      <c r="D110" t="s">
        <v>635</v>
      </c>
      <c r="E110" t="s">
        <v>636</v>
      </c>
      <c r="F110" t="s">
        <v>637</v>
      </c>
      <c r="G110">
        <v>346321229386</v>
      </c>
      <c r="H110" s="8" t="str">
        <f t="shared" si="2"/>
        <v>1994</v>
      </c>
      <c r="I110" s="1">
        <v>34456</v>
      </c>
      <c r="J110" t="s">
        <v>52</v>
      </c>
      <c r="K110" s="3" t="str">
        <f t="shared" si="3"/>
        <v>2019</v>
      </c>
      <c r="L110" s="1">
        <v>43572</v>
      </c>
      <c r="M110" s="2" t="str" cm="1">
        <f t="array" ref="M110">_xlfn.IFS(
N110&lt;500,"Very Low",
N110&lt;1500,"Low",
N110&lt;3000,"Medium",
N110&lt;4000,"High",
TRUE,"Very High"
)</f>
        <v>Medium</v>
      </c>
      <c r="N110">
        <v>2254</v>
      </c>
      <c r="O110" t="s">
        <v>638</v>
      </c>
      <c r="P110" t="s">
        <v>544</v>
      </c>
      <c r="Q110" t="s">
        <v>147</v>
      </c>
      <c r="R110">
        <v>544847</v>
      </c>
      <c r="S110" t="s">
        <v>26</v>
      </c>
    </row>
    <row r="111" spans="1:19" x14ac:dyDescent="0.3">
      <c r="A111" t="s">
        <v>639</v>
      </c>
      <c r="B111" t="s">
        <v>142</v>
      </c>
      <c r="C111" t="s">
        <v>590</v>
      </c>
      <c r="D111" t="s">
        <v>640</v>
      </c>
      <c r="E111" t="s">
        <v>641</v>
      </c>
      <c r="F111" t="s">
        <v>642</v>
      </c>
      <c r="G111">
        <v>479139988144</v>
      </c>
      <c r="H111" s="8" t="str">
        <f t="shared" si="2"/>
        <v>1978</v>
      </c>
      <c r="I111" s="1">
        <v>28793</v>
      </c>
      <c r="J111" t="s">
        <v>52</v>
      </c>
      <c r="K111" s="3" t="str">
        <f t="shared" si="3"/>
        <v>2021</v>
      </c>
      <c r="L111" s="1">
        <v>44208</v>
      </c>
      <c r="M111" s="2" t="str" cm="1">
        <f t="array" ref="M111">_xlfn.IFS(
N111&lt;500,"Very Low",
N111&lt;1500,"Low",
N111&lt;3000,"Medium",
N111&lt;4000,"High",
TRUE,"Very High"
)</f>
        <v>Medium</v>
      </c>
      <c r="N111">
        <v>2403</v>
      </c>
      <c r="O111" t="s">
        <v>53</v>
      </c>
      <c r="P111" t="s">
        <v>24</v>
      </c>
      <c r="Q111" t="s">
        <v>120</v>
      </c>
      <c r="R111">
        <v>214087</v>
      </c>
      <c r="S111" t="s">
        <v>26</v>
      </c>
    </row>
    <row r="112" spans="1:19" x14ac:dyDescent="0.3">
      <c r="A112" t="s">
        <v>643</v>
      </c>
      <c r="B112" t="s">
        <v>241</v>
      </c>
      <c r="C112" t="s">
        <v>18</v>
      </c>
      <c r="D112" t="s">
        <v>644</v>
      </c>
      <c r="E112" t="s">
        <v>645</v>
      </c>
      <c r="F112" t="s">
        <v>646</v>
      </c>
      <c r="G112">
        <v>427195704970</v>
      </c>
      <c r="H112" s="8" t="str">
        <f t="shared" si="2"/>
        <v>1988</v>
      </c>
      <c r="I112" s="1">
        <v>32321</v>
      </c>
      <c r="J112" t="s">
        <v>52</v>
      </c>
      <c r="K112" s="3" t="str">
        <f t="shared" si="3"/>
        <v>2020</v>
      </c>
      <c r="L112" s="1">
        <v>44048</v>
      </c>
      <c r="M112" s="2" t="str" cm="1">
        <f t="array" ref="M112">_xlfn.IFS(
N112&lt;500,"Very Low",
N112&lt;1500,"Low",
N112&lt;3000,"Medium",
N112&lt;4000,"High",
TRUE,"Very High"
)</f>
        <v>Low</v>
      </c>
      <c r="N112">
        <v>1066</v>
      </c>
      <c r="O112" t="s">
        <v>647</v>
      </c>
      <c r="P112" t="s">
        <v>63</v>
      </c>
      <c r="Q112" t="s">
        <v>112</v>
      </c>
      <c r="R112">
        <v>124557</v>
      </c>
      <c r="S112" t="s">
        <v>26</v>
      </c>
    </row>
    <row r="113" spans="1:19" x14ac:dyDescent="0.3">
      <c r="A113" t="s">
        <v>648</v>
      </c>
      <c r="B113" t="s">
        <v>259</v>
      </c>
      <c r="C113" t="s">
        <v>39</v>
      </c>
      <c r="D113" t="s">
        <v>520</v>
      </c>
      <c r="E113" t="s">
        <v>649</v>
      </c>
      <c r="F113" t="s">
        <v>650</v>
      </c>
      <c r="G113">
        <v>980434688253</v>
      </c>
      <c r="H113" s="8" t="str">
        <f t="shared" si="2"/>
        <v>2000</v>
      </c>
      <c r="I113" s="1">
        <v>36560</v>
      </c>
      <c r="J113" t="s">
        <v>52</v>
      </c>
      <c r="K113" s="3" t="str">
        <f t="shared" si="3"/>
        <v>2021</v>
      </c>
      <c r="L113" s="1">
        <v>44375</v>
      </c>
      <c r="M113" s="2" t="str" cm="1">
        <f t="array" ref="M113">_xlfn.IFS(
N113&lt;500,"Very Low",
N113&lt;1500,"Low",
N113&lt;3000,"Medium",
N113&lt;4000,"High",
TRUE,"Very High"
)</f>
        <v>Very High</v>
      </c>
      <c r="N113">
        <v>4395</v>
      </c>
      <c r="O113" t="s">
        <v>651</v>
      </c>
      <c r="P113" t="s">
        <v>54</v>
      </c>
      <c r="Q113" t="s">
        <v>120</v>
      </c>
      <c r="R113">
        <v>308100</v>
      </c>
      <c r="S113" t="s">
        <v>26</v>
      </c>
    </row>
    <row r="114" spans="1:19" x14ac:dyDescent="0.3">
      <c r="A114" t="s">
        <v>652</v>
      </c>
      <c r="B114" t="s">
        <v>47</v>
      </c>
      <c r="C114" t="s">
        <v>136</v>
      </c>
      <c r="D114" t="s">
        <v>653</v>
      </c>
      <c r="E114" t="s">
        <v>654</v>
      </c>
      <c r="F114" t="s">
        <v>655</v>
      </c>
      <c r="G114">
        <v>468442833228</v>
      </c>
      <c r="H114" s="8" t="str">
        <f t="shared" si="2"/>
        <v>1998</v>
      </c>
      <c r="I114" s="1">
        <v>36096</v>
      </c>
      <c r="J114" t="s">
        <v>22</v>
      </c>
      <c r="K114" s="3" t="str">
        <f t="shared" si="3"/>
        <v>2019</v>
      </c>
      <c r="L114" s="1">
        <v>43560</v>
      </c>
      <c r="M114" s="2" t="str" cm="1">
        <f t="array" ref="M114">_xlfn.IFS(
N114&lt;500,"Very Low",
N114&lt;1500,"Low",
N114&lt;3000,"Medium",
N114&lt;4000,"High",
TRUE,"Very High"
)</f>
        <v>High</v>
      </c>
      <c r="N114">
        <v>3370</v>
      </c>
      <c r="O114" t="s">
        <v>656</v>
      </c>
      <c r="P114" t="s">
        <v>80</v>
      </c>
      <c r="Q114" t="s">
        <v>81</v>
      </c>
      <c r="R114">
        <v>573073</v>
      </c>
      <c r="S114" t="s">
        <v>26</v>
      </c>
    </row>
    <row r="115" spans="1:19" x14ac:dyDescent="0.3">
      <c r="A115" t="s">
        <v>657</v>
      </c>
      <c r="B115" t="s">
        <v>489</v>
      </c>
      <c r="C115" t="s">
        <v>48</v>
      </c>
      <c r="D115" t="s">
        <v>605</v>
      </c>
      <c r="E115" t="s">
        <v>658</v>
      </c>
      <c r="F115" t="s">
        <v>659</v>
      </c>
      <c r="G115">
        <v>615203583584</v>
      </c>
      <c r="H115" s="8" t="str">
        <f t="shared" si="2"/>
        <v>1969</v>
      </c>
      <c r="I115" s="1">
        <v>25285</v>
      </c>
      <c r="J115" t="s">
        <v>61</v>
      </c>
      <c r="K115" s="3" t="str">
        <f t="shared" si="3"/>
        <v>2023</v>
      </c>
      <c r="L115" s="1">
        <v>45005</v>
      </c>
      <c r="M115" s="2" t="str" cm="1">
        <f t="array" ref="M115">_xlfn.IFS(
N115&lt;500,"Very Low",
N115&lt;1500,"Low",
N115&lt;3000,"Medium",
N115&lt;4000,"High",
TRUE,"Very High"
)</f>
        <v>Medium</v>
      </c>
      <c r="N115">
        <v>2927</v>
      </c>
      <c r="O115" t="s">
        <v>660</v>
      </c>
      <c r="P115" t="s">
        <v>302</v>
      </c>
      <c r="Q115" t="s">
        <v>81</v>
      </c>
      <c r="R115">
        <v>309684</v>
      </c>
      <c r="S115" t="s">
        <v>26</v>
      </c>
    </row>
    <row r="116" spans="1:19" x14ac:dyDescent="0.3">
      <c r="A116" t="s">
        <v>661</v>
      </c>
      <c r="B116" t="s">
        <v>91</v>
      </c>
      <c r="C116" t="s">
        <v>92</v>
      </c>
      <c r="D116" t="s">
        <v>93</v>
      </c>
      <c r="E116" t="s">
        <v>662</v>
      </c>
      <c r="F116" t="s">
        <v>663</v>
      </c>
      <c r="G116">
        <v>969480099587</v>
      </c>
      <c r="H116" s="8" t="str">
        <f t="shared" si="2"/>
        <v>1968</v>
      </c>
      <c r="I116" s="1">
        <v>24902</v>
      </c>
      <c r="J116" t="s">
        <v>22</v>
      </c>
      <c r="K116" s="3" t="str">
        <f t="shared" si="3"/>
        <v>2021</v>
      </c>
      <c r="L116" s="1">
        <v>44431</v>
      </c>
      <c r="M116" s="2" t="str" cm="1">
        <f t="array" ref="M116">_xlfn.IFS(
N116&lt;500,"Very Low",
N116&lt;1500,"Low",
N116&lt;3000,"Medium",
N116&lt;4000,"High",
TRUE,"Very High"
)</f>
        <v>Very Low</v>
      </c>
      <c r="N116">
        <v>404</v>
      </c>
      <c r="O116" t="s">
        <v>664</v>
      </c>
      <c r="P116" t="s">
        <v>544</v>
      </c>
      <c r="Q116" t="s">
        <v>112</v>
      </c>
      <c r="R116">
        <v>701883</v>
      </c>
      <c r="S116" t="s">
        <v>26</v>
      </c>
    </row>
    <row r="117" spans="1:19" x14ac:dyDescent="0.3">
      <c r="A117" t="s">
        <v>665</v>
      </c>
      <c r="B117" t="s">
        <v>235</v>
      </c>
      <c r="C117" t="s">
        <v>287</v>
      </c>
      <c r="D117" t="s">
        <v>288</v>
      </c>
      <c r="E117" t="s">
        <v>666</v>
      </c>
      <c r="F117" t="s">
        <v>667</v>
      </c>
      <c r="G117">
        <v>222224903945</v>
      </c>
      <c r="H117" s="8" t="str">
        <f t="shared" si="2"/>
        <v>1956</v>
      </c>
      <c r="I117" s="1">
        <v>20531</v>
      </c>
      <c r="J117" t="s">
        <v>22</v>
      </c>
      <c r="K117" s="3" t="str">
        <f t="shared" si="3"/>
        <v>2024</v>
      </c>
      <c r="L117" s="1">
        <v>45623</v>
      </c>
      <c r="M117" s="2" t="str" cm="1">
        <f t="array" ref="M117">_xlfn.IFS(
N117&lt;500,"Very Low",
N117&lt;1500,"Low",
N117&lt;3000,"Medium",
N117&lt;4000,"High",
TRUE,"Very High"
)</f>
        <v>High</v>
      </c>
      <c r="N117">
        <v>3693</v>
      </c>
      <c r="O117" t="s">
        <v>668</v>
      </c>
      <c r="P117" t="s">
        <v>44</v>
      </c>
      <c r="Q117" t="s">
        <v>73</v>
      </c>
      <c r="R117">
        <v>73770</v>
      </c>
      <c r="S117" t="s">
        <v>36</v>
      </c>
    </row>
    <row r="118" spans="1:19" x14ac:dyDescent="0.3">
      <c r="A118" t="s">
        <v>669</v>
      </c>
      <c r="B118" t="s">
        <v>342</v>
      </c>
      <c r="C118" t="s">
        <v>590</v>
      </c>
      <c r="D118" t="s">
        <v>670</v>
      </c>
      <c r="E118" t="s">
        <v>671</v>
      </c>
      <c r="F118" t="s">
        <v>672</v>
      </c>
      <c r="G118">
        <v>403007303560</v>
      </c>
      <c r="H118" s="8" t="str">
        <f t="shared" si="2"/>
        <v>1945</v>
      </c>
      <c r="I118" s="1">
        <v>16506</v>
      </c>
      <c r="J118" t="s">
        <v>52</v>
      </c>
      <c r="K118" s="3" t="str">
        <f t="shared" si="3"/>
        <v>2021</v>
      </c>
      <c r="L118" s="1">
        <v>44243</v>
      </c>
      <c r="M118" s="2" t="str" cm="1">
        <f t="array" ref="M118">_xlfn.IFS(
N118&lt;500,"Very Low",
N118&lt;1500,"Low",
N118&lt;3000,"Medium",
N118&lt;4000,"High",
TRUE,"Very High"
)</f>
        <v>Very High</v>
      </c>
      <c r="N118">
        <v>4021</v>
      </c>
      <c r="O118" t="s">
        <v>673</v>
      </c>
      <c r="P118" t="s">
        <v>544</v>
      </c>
      <c r="Q118" t="s">
        <v>112</v>
      </c>
      <c r="R118">
        <v>297095</v>
      </c>
      <c r="S118" t="s">
        <v>26</v>
      </c>
    </row>
    <row r="119" spans="1:19" x14ac:dyDescent="0.3">
      <c r="A119" t="s">
        <v>674</v>
      </c>
      <c r="B119" t="s">
        <v>357</v>
      </c>
      <c r="C119" t="s">
        <v>539</v>
      </c>
      <c r="D119" t="s">
        <v>675</v>
      </c>
      <c r="E119" t="s">
        <v>676</v>
      </c>
      <c r="F119" t="s">
        <v>677</v>
      </c>
      <c r="G119">
        <v>865405020000</v>
      </c>
      <c r="H119" s="8" t="str">
        <f t="shared" si="2"/>
        <v>1952</v>
      </c>
      <c r="I119" s="1">
        <v>19311</v>
      </c>
      <c r="J119" t="s">
        <v>22</v>
      </c>
      <c r="K119" s="3" t="str">
        <f t="shared" si="3"/>
        <v>2018</v>
      </c>
      <c r="L119" s="1">
        <v>43159</v>
      </c>
      <c r="M119" s="2" t="str" cm="1">
        <f t="array" ref="M119">_xlfn.IFS(
N119&lt;500,"Very Low",
N119&lt;1500,"Low",
N119&lt;3000,"Medium",
N119&lt;4000,"High",
TRUE,"Very High"
)</f>
        <v>Very High</v>
      </c>
      <c r="N119">
        <v>4200</v>
      </c>
      <c r="O119" t="s">
        <v>678</v>
      </c>
      <c r="P119" t="s">
        <v>432</v>
      </c>
      <c r="Q119" t="s">
        <v>73</v>
      </c>
      <c r="R119">
        <v>79273</v>
      </c>
      <c r="S119" t="s">
        <v>36</v>
      </c>
    </row>
    <row r="120" spans="1:19" x14ac:dyDescent="0.3">
      <c r="A120" t="s">
        <v>679</v>
      </c>
      <c r="B120" t="s">
        <v>402</v>
      </c>
      <c r="C120" t="s">
        <v>590</v>
      </c>
      <c r="D120" t="s">
        <v>680</v>
      </c>
      <c r="E120" t="s">
        <v>681</v>
      </c>
      <c r="F120" t="s">
        <v>682</v>
      </c>
      <c r="G120">
        <v>988641917338</v>
      </c>
      <c r="H120" s="8" t="str">
        <f t="shared" si="2"/>
        <v>1970</v>
      </c>
      <c r="I120" s="1">
        <v>25720</v>
      </c>
      <c r="J120" t="s">
        <v>52</v>
      </c>
      <c r="K120" s="3" t="str">
        <f t="shared" si="3"/>
        <v>2023</v>
      </c>
      <c r="L120" s="1">
        <v>44933</v>
      </c>
      <c r="M120" s="2" t="str" cm="1">
        <f t="array" ref="M120">_xlfn.IFS(
N120&lt;500,"Very Low",
N120&lt;1500,"Low",
N120&lt;3000,"Medium",
N120&lt;4000,"High",
TRUE,"Very High"
)</f>
        <v>High</v>
      </c>
      <c r="N120">
        <v>3374</v>
      </c>
      <c r="O120" t="s">
        <v>683</v>
      </c>
      <c r="P120" t="s">
        <v>111</v>
      </c>
      <c r="Q120" t="s">
        <v>97</v>
      </c>
      <c r="R120">
        <v>967117</v>
      </c>
      <c r="S120" t="s">
        <v>26</v>
      </c>
    </row>
    <row r="121" spans="1:19" x14ac:dyDescent="0.3">
      <c r="A121" t="s">
        <v>684</v>
      </c>
      <c r="B121" t="s">
        <v>176</v>
      </c>
      <c r="C121" t="s">
        <v>590</v>
      </c>
      <c r="D121" t="s">
        <v>685</v>
      </c>
      <c r="E121" t="s">
        <v>686</v>
      </c>
      <c r="F121" t="s">
        <v>687</v>
      </c>
      <c r="G121">
        <v>184166363883</v>
      </c>
      <c r="H121" s="8" t="str">
        <f t="shared" si="2"/>
        <v>1978</v>
      </c>
      <c r="I121" s="1">
        <v>28550</v>
      </c>
      <c r="J121" t="s">
        <v>61</v>
      </c>
      <c r="K121" s="3" t="str">
        <f t="shared" si="3"/>
        <v>2025</v>
      </c>
      <c r="L121" s="1">
        <v>45831</v>
      </c>
      <c r="M121" s="2" t="str" cm="1">
        <f t="array" ref="M121">_xlfn.IFS(
N121&lt;500,"Very Low",
N121&lt;1500,"Low",
N121&lt;3000,"Medium",
N121&lt;4000,"High",
TRUE,"Very High"
)</f>
        <v>Very High</v>
      </c>
      <c r="N121">
        <v>4978</v>
      </c>
      <c r="O121" t="s">
        <v>688</v>
      </c>
      <c r="P121" t="s">
        <v>167</v>
      </c>
      <c r="Q121" t="s">
        <v>35</v>
      </c>
      <c r="R121">
        <v>76138</v>
      </c>
      <c r="S121" t="s">
        <v>36</v>
      </c>
    </row>
    <row r="122" spans="1:19" x14ac:dyDescent="0.3">
      <c r="A122" t="s">
        <v>689</v>
      </c>
      <c r="B122" t="s">
        <v>161</v>
      </c>
      <c r="C122" t="s">
        <v>29</v>
      </c>
      <c r="D122" t="s">
        <v>690</v>
      </c>
      <c r="E122" t="s">
        <v>691</v>
      </c>
      <c r="F122" t="s">
        <v>692</v>
      </c>
      <c r="G122">
        <v>501811521601</v>
      </c>
      <c r="H122" s="8" t="str">
        <f t="shared" si="2"/>
        <v>2003</v>
      </c>
      <c r="I122" s="1">
        <v>37915</v>
      </c>
      <c r="J122" t="s">
        <v>61</v>
      </c>
      <c r="K122" s="3" t="str">
        <f t="shared" si="3"/>
        <v>2020</v>
      </c>
      <c r="L122" s="1">
        <v>44071</v>
      </c>
      <c r="M122" s="2" t="str" cm="1">
        <f t="array" ref="M122">_xlfn.IFS(
N122&lt;500,"Very Low",
N122&lt;1500,"Low",
N122&lt;3000,"Medium",
N122&lt;4000,"High",
TRUE,"Very High"
)</f>
        <v>Very High</v>
      </c>
      <c r="N122">
        <v>4626</v>
      </c>
      <c r="O122" t="s">
        <v>693</v>
      </c>
      <c r="P122" t="s">
        <v>417</v>
      </c>
      <c r="Q122" t="s">
        <v>97</v>
      </c>
      <c r="R122">
        <v>864412</v>
      </c>
      <c r="S122" t="s">
        <v>26</v>
      </c>
    </row>
    <row r="123" spans="1:19" x14ac:dyDescent="0.3">
      <c r="A123" t="s">
        <v>694</v>
      </c>
      <c r="B123" t="s">
        <v>357</v>
      </c>
      <c r="C123" t="s">
        <v>539</v>
      </c>
      <c r="D123" t="s">
        <v>675</v>
      </c>
      <c r="E123" t="s">
        <v>695</v>
      </c>
      <c r="F123" t="s">
        <v>696</v>
      </c>
      <c r="G123">
        <v>856417037112</v>
      </c>
      <c r="H123" s="8" t="str">
        <f t="shared" si="2"/>
        <v>1963</v>
      </c>
      <c r="I123" s="1">
        <v>23156</v>
      </c>
      <c r="J123" t="s">
        <v>22</v>
      </c>
      <c r="K123" s="3" t="str">
        <f t="shared" si="3"/>
        <v>2024</v>
      </c>
      <c r="L123" s="1">
        <v>45616</v>
      </c>
      <c r="M123" s="2" t="str" cm="1">
        <f t="array" ref="M123">_xlfn.IFS(
N123&lt;500,"Very Low",
N123&lt;1500,"Low",
N123&lt;3000,"Medium",
N123&lt;4000,"High",
TRUE,"Very High"
)</f>
        <v>High</v>
      </c>
      <c r="N123">
        <v>3393</v>
      </c>
      <c r="O123" t="s">
        <v>697</v>
      </c>
      <c r="P123" t="s">
        <v>89</v>
      </c>
      <c r="Q123" t="s">
        <v>35</v>
      </c>
      <c r="R123">
        <v>58047</v>
      </c>
      <c r="S123" t="s">
        <v>36</v>
      </c>
    </row>
    <row r="124" spans="1:19" x14ac:dyDescent="0.3">
      <c r="A124" t="s">
        <v>698</v>
      </c>
      <c r="B124" t="s">
        <v>270</v>
      </c>
      <c r="C124" t="s">
        <v>39</v>
      </c>
      <c r="D124" t="s">
        <v>699</v>
      </c>
      <c r="E124" t="s">
        <v>700</v>
      </c>
      <c r="F124" t="s">
        <v>701</v>
      </c>
      <c r="G124">
        <v>351255281570</v>
      </c>
      <c r="H124" s="8" t="str">
        <f t="shared" si="2"/>
        <v>1981</v>
      </c>
      <c r="I124" s="1">
        <v>29831</v>
      </c>
      <c r="J124" t="s">
        <v>22</v>
      </c>
      <c r="K124" s="3" t="str">
        <f t="shared" si="3"/>
        <v>2025</v>
      </c>
      <c r="L124" s="1">
        <v>45920</v>
      </c>
      <c r="M124" s="2" t="str" cm="1">
        <f t="array" ref="M124">_xlfn.IFS(
N124&lt;500,"Very Low",
N124&lt;1500,"Low",
N124&lt;3000,"Medium",
N124&lt;4000,"High",
TRUE,"Very High"
)</f>
        <v>Medium</v>
      </c>
      <c r="N124">
        <v>2329</v>
      </c>
      <c r="O124" t="s">
        <v>702</v>
      </c>
      <c r="P124" t="s">
        <v>63</v>
      </c>
      <c r="Q124" t="s">
        <v>97</v>
      </c>
      <c r="R124">
        <v>426662</v>
      </c>
      <c r="S124" t="s">
        <v>26</v>
      </c>
    </row>
    <row r="125" spans="1:19" x14ac:dyDescent="0.3">
      <c r="A125" t="s">
        <v>703</v>
      </c>
      <c r="B125" t="s">
        <v>106</v>
      </c>
      <c r="C125" t="s">
        <v>136</v>
      </c>
      <c r="D125" t="s">
        <v>704</v>
      </c>
      <c r="E125" t="s">
        <v>705</v>
      </c>
      <c r="F125" t="s">
        <v>706</v>
      </c>
      <c r="G125">
        <v>638470722611</v>
      </c>
      <c r="H125" s="8" t="str">
        <f t="shared" si="2"/>
        <v>1952</v>
      </c>
      <c r="I125" s="1">
        <v>19291</v>
      </c>
      <c r="J125" t="s">
        <v>52</v>
      </c>
      <c r="K125" s="3" t="str">
        <f t="shared" si="3"/>
        <v>2024</v>
      </c>
      <c r="L125" s="1">
        <v>45655</v>
      </c>
      <c r="M125" s="2" t="str" cm="1">
        <f t="array" ref="M125">_xlfn.IFS(
N125&lt;500,"Very Low",
N125&lt;1500,"Low",
N125&lt;3000,"Medium",
N125&lt;4000,"High",
TRUE,"Very High"
)</f>
        <v>Low</v>
      </c>
      <c r="N125">
        <v>803</v>
      </c>
      <c r="O125" t="s">
        <v>707</v>
      </c>
      <c r="P125" t="s">
        <v>285</v>
      </c>
      <c r="Q125" t="s">
        <v>120</v>
      </c>
      <c r="R125">
        <v>748066</v>
      </c>
      <c r="S125" t="s">
        <v>26</v>
      </c>
    </row>
    <row r="126" spans="1:19" x14ac:dyDescent="0.3">
      <c r="A126" t="s">
        <v>708</v>
      </c>
      <c r="B126" t="s">
        <v>259</v>
      </c>
      <c r="C126" t="s">
        <v>39</v>
      </c>
      <c r="D126" t="s">
        <v>520</v>
      </c>
      <c r="E126" t="s">
        <v>709</v>
      </c>
      <c r="F126" t="s">
        <v>710</v>
      </c>
      <c r="G126">
        <v>870994166186</v>
      </c>
      <c r="H126" s="8" t="str">
        <f t="shared" si="2"/>
        <v>1966</v>
      </c>
      <c r="I126" s="1">
        <v>24189</v>
      </c>
      <c r="J126" t="s">
        <v>61</v>
      </c>
      <c r="K126" s="3" t="str">
        <f t="shared" si="3"/>
        <v>2021</v>
      </c>
      <c r="L126" s="1">
        <v>44298</v>
      </c>
      <c r="M126" s="2" t="str" cm="1">
        <f t="array" ref="M126">_xlfn.IFS(
N126&lt;500,"Very Low",
N126&lt;1500,"Low",
N126&lt;3000,"Medium",
N126&lt;4000,"High",
TRUE,"Very High"
)</f>
        <v>Medium</v>
      </c>
      <c r="N126">
        <v>2197</v>
      </c>
      <c r="O126" t="s">
        <v>711</v>
      </c>
      <c r="P126" t="s">
        <v>211</v>
      </c>
      <c r="Q126" t="s">
        <v>200</v>
      </c>
      <c r="R126">
        <v>58076</v>
      </c>
      <c r="S126" t="s">
        <v>36</v>
      </c>
    </row>
    <row r="127" spans="1:19" x14ac:dyDescent="0.3">
      <c r="A127" t="s">
        <v>712</v>
      </c>
      <c r="B127" t="s">
        <v>127</v>
      </c>
      <c r="C127" t="s">
        <v>253</v>
      </c>
      <c r="D127" t="s">
        <v>713</v>
      </c>
      <c r="E127" t="s">
        <v>714</v>
      </c>
      <c r="F127" t="s">
        <v>715</v>
      </c>
      <c r="G127">
        <v>470916355244</v>
      </c>
      <c r="H127" s="8" t="str">
        <f t="shared" si="2"/>
        <v>1979</v>
      </c>
      <c r="I127" s="1">
        <v>29020</v>
      </c>
      <c r="J127" t="s">
        <v>22</v>
      </c>
      <c r="K127" s="3" t="str">
        <f t="shared" si="3"/>
        <v>2023</v>
      </c>
      <c r="L127" s="1">
        <v>45083</v>
      </c>
      <c r="M127" s="2" t="str" cm="1">
        <f t="array" ref="M127">_xlfn.IFS(
N127&lt;500,"Very Low",
N127&lt;1500,"Low",
N127&lt;3000,"Medium",
N127&lt;4000,"High",
TRUE,"Very High"
)</f>
        <v>Medium</v>
      </c>
      <c r="N127">
        <v>1865</v>
      </c>
      <c r="O127" t="s">
        <v>716</v>
      </c>
      <c r="P127" t="s">
        <v>80</v>
      </c>
      <c r="Q127" t="s">
        <v>120</v>
      </c>
      <c r="R127">
        <v>112992</v>
      </c>
      <c r="S127" t="s">
        <v>26</v>
      </c>
    </row>
    <row r="128" spans="1:19" x14ac:dyDescent="0.3">
      <c r="A128" t="s">
        <v>717</v>
      </c>
      <c r="B128" t="s">
        <v>241</v>
      </c>
      <c r="C128" t="s">
        <v>84</v>
      </c>
      <c r="D128" t="s">
        <v>510</v>
      </c>
      <c r="E128" t="s">
        <v>718</v>
      </c>
      <c r="F128" t="s">
        <v>719</v>
      </c>
      <c r="G128">
        <v>445860591447</v>
      </c>
      <c r="H128" s="8" t="str">
        <f t="shared" si="2"/>
        <v>1995</v>
      </c>
      <c r="I128" s="1">
        <v>34836</v>
      </c>
      <c r="J128" t="s">
        <v>22</v>
      </c>
      <c r="K128" s="3" t="str">
        <f t="shared" si="3"/>
        <v>2025</v>
      </c>
      <c r="L128" s="1">
        <v>45727</v>
      </c>
      <c r="M128" s="2" t="str" cm="1">
        <f t="array" ref="M128">_xlfn.IFS(
N128&lt;500,"Very Low",
N128&lt;1500,"Low",
N128&lt;3000,"Medium",
N128&lt;4000,"High",
TRUE,"Very High"
)</f>
        <v>High</v>
      </c>
      <c r="N128">
        <v>3258</v>
      </c>
      <c r="O128" t="s">
        <v>720</v>
      </c>
      <c r="P128" t="s">
        <v>111</v>
      </c>
      <c r="Q128" t="s">
        <v>112</v>
      </c>
      <c r="R128">
        <v>427579</v>
      </c>
      <c r="S128" t="s">
        <v>26</v>
      </c>
    </row>
    <row r="129" spans="1:19" x14ac:dyDescent="0.3">
      <c r="A129" t="s">
        <v>721</v>
      </c>
      <c r="B129" t="s">
        <v>252</v>
      </c>
      <c r="C129" t="s">
        <v>18</v>
      </c>
      <c r="D129" t="s">
        <v>722</v>
      </c>
      <c r="E129" t="s">
        <v>723</v>
      </c>
      <c r="F129" t="s">
        <v>724</v>
      </c>
      <c r="G129">
        <v>366383905204</v>
      </c>
      <c r="H129" s="8" t="str">
        <f t="shared" si="2"/>
        <v>1985</v>
      </c>
      <c r="I129" s="1">
        <v>31086</v>
      </c>
      <c r="J129" t="s">
        <v>61</v>
      </c>
      <c r="K129" s="3" t="str">
        <f t="shared" si="3"/>
        <v>2019</v>
      </c>
      <c r="L129" s="1">
        <v>43801</v>
      </c>
      <c r="M129" s="2" t="str" cm="1">
        <f t="array" ref="M129">_xlfn.IFS(
N129&lt;500,"Very Low",
N129&lt;1500,"Low",
N129&lt;3000,"Medium",
N129&lt;4000,"High",
TRUE,"Very High"
)</f>
        <v>Very High</v>
      </c>
      <c r="N129">
        <v>4293</v>
      </c>
      <c r="O129" t="s">
        <v>725</v>
      </c>
      <c r="P129" t="s">
        <v>111</v>
      </c>
      <c r="Q129" t="s">
        <v>188</v>
      </c>
      <c r="R129">
        <v>474341</v>
      </c>
      <c r="S129" t="s">
        <v>26</v>
      </c>
    </row>
    <row r="130" spans="1:19" x14ac:dyDescent="0.3">
      <c r="A130" t="s">
        <v>726</v>
      </c>
      <c r="B130" t="s">
        <v>176</v>
      </c>
      <c r="C130" t="s">
        <v>190</v>
      </c>
      <c r="D130" t="s">
        <v>214</v>
      </c>
      <c r="E130" t="s">
        <v>727</v>
      </c>
      <c r="F130" t="s">
        <v>728</v>
      </c>
      <c r="G130">
        <v>246912997063</v>
      </c>
      <c r="H130" s="8" t="str">
        <f t="shared" si="2"/>
        <v>2001</v>
      </c>
      <c r="I130" s="1">
        <v>37207</v>
      </c>
      <c r="J130" t="s">
        <v>52</v>
      </c>
      <c r="K130" s="3" t="str">
        <f t="shared" si="3"/>
        <v>2022</v>
      </c>
      <c r="L130" s="1">
        <v>44658</v>
      </c>
      <c r="M130" s="2" t="str" cm="1">
        <f t="array" ref="M130">_xlfn.IFS(
N130&lt;500,"Very Low",
N130&lt;1500,"Low",
N130&lt;3000,"Medium",
N130&lt;4000,"High",
TRUE,"Very High"
)</f>
        <v>Medium</v>
      </c>
      <c r="N130">
        <v>2822</v>
      </c>
      <c r="O130" t="s">
        <v>729</v>
      </c>
      <c r="P130" t="s">
        <v>417</v>
      </c>
      <c r="Q130" t="s">
        <v>97</v>
      </c>
      <c r="R130">
        <v>971375</v>
      </c>
      <c r="S130" t="s">
        <v>26</v>
      </c>
    </row>
    <row r="131" spans="1:19" x14ac:dyDescent="0.3">
      <c r="A131" t="s">
        <v>730</v>
      </c>
      <c r="B131" t="s">
        <v>182</v>
      </c>
      <c r="C131" t="s">
        <v>39</v>
      </c>
      <c r="D131" t="s">
        <v>731</v>
      </c>
      <c r="E131" t="s">
        <v>732</v>
      </c>
      <c r="F131" t="s">
        <v>733</v>
      </c>
      <c r="G131">
        <v>146863159239</v>
      </c>
      <c r="H131" s="8" t="str">
        <f t="shared" ref="H131:H194" si="4">TEXT(I131,"YYYY")</f>
        <v>1971</v>
      </c>
      <c r="I131" s="1">
        <v>26269</v>
      </c>
      <c r="J131" t="s">
        <v>22</v>
      </c>
      <c r="K131" s="3" t="str">
        <f t="shared" ref="K131:K194" si="5">TEXT(L131, "YYYY")</f>
        <v>2020</v>
      </c>
      <c r="L131" s="1">
        <v>44180</v>
      </c>
      <c r="M131" s="2" t="str" cm="1">
        <f t="array" ref="M131">_xlfn.IFS(
N131&lt;500,"Very Low",
N131&lt;1500,"Low",
N131&lt;3000,"Medium",
N131&lt;4000,"High",
TRUE,"Very High"
)</f>
        <v>Medium</v>
      </c>
      <c r="N131">
        <v>2996</v>
      </c>
      <c r="O131" t="s">
        <v>734</v>
      </c>
      <c r="P131" t="s">
        <v>89</v>
      </c>
      <c r="Q131" t="s">
        <v>200</v>
      </c>
      <c r="R131">
        <v>32176</v>
      </c>
      <c r="S131" t="s">
        <v>36</v>
      </c>
    </row>
    <row r="132" spans="1:19" x14ac:dyDescent="0.3">
      <c r="A132" t="s">
        <v>735</v>
      </c>
      <c r="B132" t="s">
        <v>182</v>
      </c>
      <c r="C132" t="s">
        <v>67</v>
      </c>
      <c r="D132" t="s">
        <v>736</v>
      </c>
      <c r="E132" t="s">
        <v>737</v>
      </c>
      <c r="F132" t="s">
        <v>738</v>
      </c>
      <c r="G132">
        <v>153406187648</v>
      </c>
      <c r="H132" s="8" t="str">
        <f t="shared" si="4"/>
        <v>1966</v>
      </c>
      <c r="I132" s="1">
        <v>24136</v>
      </c>
      <c r="J132" t="s">
        <v>22</v>
      </c>
      <c r="K132" s="3" t="str">
        <f t="shared" si="5"/>
        <v>2021</v>
      </c>
      <c r="L132" s="1">
        <v>44463</v>
      </c>
      <c r="M132" s="2" t="str" cm="1">
        <f t="array" ref="M132">_xlfn.IFS(
N132&lt;500,"Very Low",
N132&lt;1500,"Low",
N132&lt;3000,"Medium",
N132&lt;4000,"High",
TRUE,"Very High"
)</f>
        <v>High</v>
      </c>
      <c r="N132">
        <v>3975</v>
      </c>
      <c r="O132" t="s">
        <v>739</v>
      </c>
      <c r="P132" t="s">
        <v>432</v>
      </c>
      <c r="Q132" t="s">
        <v>212</v>
      </c>
      <c r="R132">
        <v>63823</v>
      </c>
      <c r="S132" t="s">
        <v>36</v>
      </c>
    </row>
    <row r="133" spans="1:19" x14ac:dyDescent="0.3">
      <c r="A133" t="s">
        <v>740</v>
      </c>
      <c r="B133" t="s">
        <v>106</v>
      </c>
      <c r="C133" t="s">
        <v>92</v>
      </c>
      <c r="D133" t="s">
        <v>107</v>
      </c>
      <c r="E133" t="s">
        <v>741</v>
      </c>
      <c r="F133" t="s">
        <v>742</v>
      </c>
      <c r="G133">
        <v>485379923913</v>
      </c>
      <c r="H133" s="8" t="str">
        <f t="shared" si="4"/>
        <v>1964</v>
      </c>
      <c r="I133" s="1">
        <v>23507</v>
      </c>
      <c r="J133" t="s">
        <v>52</v>
      </c>
      <c r="K133" s="3" t="str">
        <f t="shared" si="5"/>
        <v>2022</v>
      </c>
      <c r="L133" s="1">
        <v>44647</v>
      </c>
      <c r="M133" s="2" t="str" cm="1">
        <f t="array" ref="M133">_xlfn.IFS(
N133&lt;500,"Very Low",
N133&lt;1500,"Low",
N133&lt;3000,"Medium",
N133&lt;4000,"High",
TRUE,"Very High"
)</f>
        <v>Very High</v>
      </c>
      <c r="N133">
        <v>4286</v>
      </c>
      <c r="O133" t="s">
        <v>743</v>
      </c>
      <c r="P133" t="s">
        <v>432</v>
      </c>
      <c r="Q133" t="s">
        <v>200</v>
      </c>
      <c r="R133">
        <v>24148</v>
      </c>
      <c r="S133" t="s">
        <v>36</v>
      </c>
    </row>
    <row r="134" spans="1:19" x14ac:dyDescent="0.3">
      <c r="A134" t="s">
        <v>744</v>
      </c>
      <c r="B134" t="s">
        <v>169</v>
      </c>
      <c r="C134" t="s">
        <v>67</v>
      </c>
      <c r="D134" t="s">
        <v>745</v>
      </c>
      <c r="E134" t="s">
        <v>746</v>
      </c>
      <c r="F134" t="s">
        <v>747</v>
      </c>
      <c r="G134">
        <v>298949588229</v>
      </c>
      <c r="H134" s="8" t="str">
        <f t="shared" si="4"/>
        <v>1989</v>
      </c>
      <c r="I134" s="1">
        <v>32728</v>
      </c>
      <c r="J134" t="s">
        <v>52</v>
      </c>
      <c r="K134" s="3" t="str">
        <f t="shared" si="5"/>
        <v>2019</v>
      </c>
      <c r="L134" s="1">
        <v>43499</v>
      </c>
      <c r="M134" s="2" t="str" cm="1">
        <f t="array" ref="M134">_xlfn.IFS(
N134&lt;500,"Very Low",
N134&lt;1500,"Low",
N134&lt;3000,"Medium",
N134&lt;4000,"High",
TRUE,"Very High"
)</f>
        <v>Low</v>
      </c>
      <c r="N134">
        <v>1263</v>
      </c>
      <c r="O134" t="s">
        <v>748</v>
      </c>
      <c r="P134" t="s">
        <v>167</v>
      </c>
      <c r="Q134" t="s">
        <v>45</v>
      </c>
      <c r="R134">
        <v>26567</v>
      </c>
      <c r="S134" t="s">
        <v>36</v>
      </c>
    </row>
    <row r="135" spans="1:19" x14ac:dyDescent="0.3">
      <c r="A135" t="s">
        <v>749</v>
      </c>
      <c r="B135" t="s">
        <v>154</v>
      </c>
      <c r="C135" t="s">
        <v>48</v>
      </c>
      <c r="D135" t="s">
        <v>424</v>
      </c>
      <c r="E135" t="s">
        <v>750</v>
      </c>
      <c r="F135" t="s">
        <v>751</v>
      </c>
      <c r="G135">
        <v>662601117555</v>
      </c>
      <c r="H135" s="8" t="str">
        <f t="shared" si="4"/>
        <v>1977</v>
      </c>
      <c r="I135" s="1">
        <v>28352</v>
      </c>
      <c r="J135" t="s">
        <v>52</v>
      </c>
      <c r="K135" s="3" t="str">
        <f t="shared" si="5"/>
        <v>2021</v>
      </c>
      <c r="L135" s="1">
        <v>44219</v>
      </c>
      <c r="M135" s="2" t="str" cm="1">
        <f t="array" ref="M135">_xlfn.IFS(
N135&lt;500,"Very Low",
N135&lt;1500,"Low",
N135&lt;3000,"Medium",
N135&lt;4000,"High",
TRUE,"Very High"
)</f>
        <v>Low</v>
      </c>
      <c r="N135">
        <v>1114</v>
      </c>
      <c r="O135" t="s">
        <v>752</v>
      </c>
      <c r="P135" t="s">
        <v>63</v>
      </c>
      <c r="Q135" t="s">
        <v>337</v>
      </c>
      <c r="R135">
        <v>236025</v>
      </c>
      <c r="S135" t="s">
        <v>26</v>
      </c>
    </row>
    <row r="136" spans="1:19" x14ac:dyDescent="0.3">
      <c r="A136" t="s">
        <v>753</v>
      </c>
      <c r="B136" t="s">
        <v>154</v>
      </c>
      <c r="C136" t="s">
        <v>75</v>
      </c>
      <c r="D136" t="s">
        <v>754</v>
      </c>
      <c r="E136" t="s">
        <v>755</v>
      </c>
      <c r="F136" t="s">
        <v>756</v>
      </c>
      <c r="G136">
        <v>833969024471</v>
      </c>
      <c r="H136" s="8" t="str">
        <f t="shared" si="4"/>
        <v>2000</v>
      </c>
      <c r="I136" s="1">
        <v>36570</v>
      </c>
      <c r="J136" t="s">
        <v>61</v>
      </c>
      <c r="K136" s="3" t="str">
        <f t="shared" si="5"/>
        <v>2020</v>
      </c>
      <c r="L136" s="1">
        <v>43974</v>
      </c>
      <c r="M136" s="2" t="str" cm="1">
        <f t="array" ref="M136">_xlfn.IFS(
N136&lt;500,"Very Low",
N136&lt;1500,"Low",
N136&lt;3000,"Medium",
N136&lt;4000,"High",
TRUE,"Very High"
)</f>
        <v>Very High</v>
      </c>
      <c r="N136">
        <v>4227</v>
      </c>
      <c r="O136" t="s">
        <v>757</v>
      </c>
      <c r="P136" t="s">
        <v>89</v>
      </c>
      <c r="Q136" t="s">
        <v>35</v>
      </c>
      <c r="R136">
        <v>43343</v>
      </c>
      <c r="S136" t="s">
        <v>36</v>
      </c>
    </row>
    <row r="137" spans="1:19" x14ac:dyDescent="0.3">
      <c r="A137" t="s">
        <v>758</v>
      </c>
      <c r="B137" t="s">
        <v>91</v>
      </c>
      <c r="C137" t="s">
        <v>128</v>
      </c>
      <c r="D137" t="s">
        <v>759</v>
      </c>
      <c r="E137" t="s">
        <v>760</v>
      </c>
      <c r="F137" t="s">
        <v>761</v>
      </c>
      <c r="G137">
        <v>239677583919</v>
      </c>
      <c r="H137" s="8" t="str">
        <f t="shared" si="4"/>
        <v>1982</v>
      </c>
      <c r="I137" s="1">
        <v>30232</v>
      </c>
      <c r="J137" t="s">
        <v>52</v>
      </c>
      <c r="K137" s="3" t="str">
        <f t="shared" si="5"/>
        <v>2023</v>
      </c>
      <c r="L137" s="1">
        <v>44936</v>
      </c>
      <c r="M137" s="2" t="str" cm="1">
        <f t="array" ref="M137">_xlfn.IFS(
N137&lt;500,"Very Low",
N137&lt;1500,"Low",
N137&lt;3000,"Medium",
N137&lt;4000,"High",
TRUE,"Very High"
)</f>
        <v>Medium</v>
      </c>
      <c r="N137">
        <v>2016</v>
      </c>
      <c r="O137" t="s">
        <v>762</v>
      </c>
      <c r="P137" t="s">
        <v>417</v>
      </c>
      <c r="Q137" t="s">
        <v>147</v>
      </c>
      <c r="R137">
        <v>868632</v>
      </c>
      <c r="S137" t="s">
        <v>26</v>
      </c>
    </row>
    <row r="138" spans="1:19" x14ac:dyDescent="0.3">
      <c r="A138" t="s">
        <v>763</v>
      </c>
      <c r="B138" t="s">
        <v>56</v>
      </c>
      <c r="C138" t="s">
        <v>100</v>
      </c>
      <c r="D138" t="s">
        <v>764</v>
      </c>
      <c r="E138" t="s">
        <v>765</v>
      </c>
      <c r="F138" t="s">
        <v>766</v>
      </c>
      <c r="G138">
        <v>558627815552</v>
      </c>
      <c r="H138" s="8" t="str">
        <f t="shared" si="4"/>
        <v>1996</v>
      </c>
      <c r="I138" s="1">
        <v>35088</v>
      </c>
      <c r="J138" t="s">
        <v>52</v>
      </c>
      <c r="K138" s="3" t="str">
        <f t="shared" si="5"/>
        <v>2019</v>
      </c>
      <c r="L138" s="1">
        <v>43579</v>
      </c>
      <c r="M138" s="2" t="str" cm="1">
        <f t="array" ref="M138">_xlfn.IFS(
N138&lt;500,"Very Low",
N138&lt;1500,"Low",
N138&lt;3000,"Medium",
N138&lt;4000,"High",
TRUE,"Very High"
)</f>
        <v>Very High</v>
      </c>
      <c r="N138">
        <v>4846</v>
      </c>
      <c r="O138" t="s">
        <v>767</v>
      </c>
      <c r="P138" t="s">
        <v>63</v>
      </c>
      <c r="Q138" t="s">
        <v>64</v>
      </c>
      <c r="R138">
        <v>541282</v>
      </c>
      <c r="S138" t="s">
        <v>26</v>
      </c>
    </row>
    <row r="139" spans="1:19" x14ac:dyDescent="0.3">
      <c r="A139" t="s">
        <v>768</v>
      </c>
      <c r="B139" t="s">
        <v>142</v>
      </c>
      <c r="C139" t="s">
        <v>84</v>
      </c>
      <c r="D139" t="s">
        <v>769</v>
      </c>
      <c r="E139" t="s">
        <v>770</v>
      </c>
      <c r="F139" t="s">
        <v>771</v>
      </c>
      <c r="G139">
        <v>199074617173</v>
      </c>
      <c r="H139" s="8" t="str">
        <f t="shared" si="4"/>
        <v>1991</v>
      </c>
      <c r="I139" s="1">
        <v>33490</v>
      </c>
      <c r="J139" t="s">
        <v>52</v>
      </c>
      <c r="K139" s="3" t="str">
        <f t="shared" si="5"/>
        <v>2025</v>
      </c>
      <c r="L139" s="1">
        <v>45766</v>
      </c>
      <c r="M139" s="2" t="str" cm="1">
        <f t="array" ref="M139">_xlfn.IFS(
N139&lt;500,"Very Low",
N139&lt;1500,"Low",
N139&lt;3000,"Medium",
N139&lt;4000,"High",
TRUE,"Very High"
)</f>
        <v>Very High</v>
      </c>
      <c r="N139">
        <v>4498</v>
      </c>
      <c r="O139" t="s">
        <v>772</v>
      </c>
      <c r="P139" t="s">
        <v>302</v>
      </c>
      <c r="Q139" t="s">
        <v>25</v>
      </c>
      <c r="R139">
        <v>492176</v>
      </c>
      <c r="S139" t="s">
        <v>26</v>
      </c>
    </row>
    <row r="140" spans="1:19" x14ac:dyDescent="0.3">
      <c r="A140" t="s">
        <v>773</v>
      </c>
      <c r="B140" t="s">
        <v>38</v>
      </c>
      <c r="C140" t="s">
        <v>18</v>
      </c>
      <c r="D140" t="s">
        <v>774</v>
      </c>
      <c r="E140" t="s">
        <v>775</v>
      </c>
      <c r="F140" t="s">
        <v>776</v>
      </c>
      <c r="G140">
        <v>835490454951</v>
      </c>
      <c r="H140" s="8" t="str">
        <f t="shared" si="4"/>
        <v>1982</v>
      </c>
      <c r="I140" s="1">
        <v>30314</v>
      </c>
      <c r="J140" t="s">
        <v>52</v>
      </c>
      <c r="K140" s="3" t="str">
        <f t="shared" si="5"/>
        <v>2022</v>
      </c>
      <c r="L140" s="1">
        <v>44763</v>
      </c>
      <c r="M140" s="2" t="str" cm="1">
        <f t="array" ref="M140">_xlfn.IFS(
N140&lt;500,"Very Low",
N140&lt;1500,"Low",
N140&lt;3000,"Medium",
N140&lt;4000,"High",
TRUE,"Very High"
)</f>
        <v>High</v>
      </c>
      <c r="N140">
        <v>3597</v>
      </c>
      <c r="O140" t="s">
        <v>777</v>
      </c>
      <c r="P140" t="s">
        <v>417</v>
      </c>
      <c r="Q140" t="s">
        <v>97</v>
      </c>
      <c r="R140">
        <v>757417</v>
      </c>
      <c r="S140" t="s">
        <v>26</v>
      </c>
    </row>
    <row r="141" spans="1:19" x14ac:dyDescent="0.3">
      <c r="A141" t="s">
        <v>778</v>
      </c>
      <c r="B141" t="s">
        <v>83</v>
      </c>
      <c r="C141" t="s">
        <v>539</v>
      </c>
      <c r="D141" t="s">
        <v>779</v>
      </c>
      <c r="E141" t="s">
        <v>780</v>
      </c>
      <c r="F141" t="s">
        <v>781</v>
      </c>
      <c r="G141">
        <v>939983492449</v>
      </c>
      <c r="H141" s="8" t="str">
        <f t="shared" si="4"/>
        <v>1949</v>
      </c>
      <c r="I141" s="1">
        <v>18061</v>
      </c>
      <c r="J141" t="s">
        <v>22</v>
      </c>
      <c r="K141" s="3" t="str">
        <f t="shared" si="5"/>
        <v>2024</v>
      </c>
      <c r="L141" s="1">
        <v>45642</v>
      </c>
      <c r="M141" s="2" t="str" cm="1">
        <f t="array" ref="M141">_xlfn.IFS(
N141&lt;500,"Very Low",
N141&lt;1500,"Low",
N141&lt;3000,"Medium",
N141&lt;4000,"High",
TRUE,"Very High"
)</f>
        <v>Low</v>
      </c>
      <c r="N141">
        <v>1227</v>
      </c>
      <c r="O141" t="s">
        <v>782</v>
      </c>
      <c r="P141" t="s">
        <v>112</v>
      </c>
      <c r="Q141" t="s">
        <v>81</v>
      </c>
      <c r="R141">
        <v>769490</v>
      </c>
      <c r="S141" t="s">
        <v>26</v>
      </c>
    </row>
    <row r="142" spans="1:19" x14ac:dyDescent="0.3">
      <c r="A142" t="s">
        <v>783</v>
      </c>
      <c r="B142" t="s">
        <v>169</v>
      </c>
      <c r="C142" t="s">
        <v>29</v>
      </c>
      <c r="D142" t="s">
        <v>784</v>
      </c>
      <c r="E142" t="s">
        <v>785</v>
      </c>
      <c r="F142" t="s">
        <v>786</v>
      </c>
      <c r="G142">
        <v>688765817003</v>
      </c>
      <c r="H142" s="8" t="str">
        <f t="shared" si="4"/>
        <v>1970</v>
      </c>
      <c r="I142" s="1">
        <v>25751</v>
      </c>
      <c r="J142" t="s">
        <v>52</v>
      </c>
      <c r="K142" s="3" t="str">
        <f t="shared" si="5"/>
        <v>2024</v>
      </c>
      <c r="L142" s="1">
        <v>45420</v>
      </c>
      <c r="M142" s="2" t="str" cm="1">
        <f t="array" ref="M142">_xlfn.IFS(
N142&lt;500,"Very Low",
N142&lt;1500,"Low",
N142&lt;3000,"Medium",
N142&lt;4000,"High",
TRUE,"Very High"
)</f>
        <v>High</v>
      </c>
      <c r="N142">
        <v>3595</v>
      </c>
      <c r="O142" t="s">
        <v>787</v>
      </c>
      <c r="P142" t="s">
        <v>44</v>
      </c>
      <c r="Q142" t="s">
        <v>35</v>
      </c>
      <c r="R142">
        <v>45630</v>
      </c>
      <c r="S142" t="s">
        <v>36</v>
      </c>
    </row>
    <row r="143" spans="1:19" x14ac:dyDescent="0.3">
      <c r="A143" t="s">
        <v>788</v>
      </c>
      <c r="B143" t="s">
        <v>106</v>
      </c>
      <c r="C143" t="s">
        <v>539</v>
      </c>
      <c r="D143" t="s">
        <v>789</v>
      </c>
      <c r="E143" t="s">
        <v>790</v>
      </c>
      <c r="F143" t="s">
        <v>791</v>
      </c>
      <c r="G143">
        <v>852088159508</v>
      </c>
      <c r="H143" s="8" t="str">
        <f t="shared" si="4"/>
        <v>1969</v>
      </c>
      <c r="I143" s="1">
        <v>25495</v>
      </c>
      <c r="J143" t="s">
        <v>22</v>
      </c>
      <c r="K143" s="3" t="str">
        <f t="shared" si="5"/>
        <v>2025</v>
      </c>
      <c r="L143" s="1">
        <v>45881</v>
      </c>
      <c r="M143" s="2" t="str" cm="1">
        <f t="array" ref="M143">_xlfn.IFS(
N143&lt;500,"Very Low",
N143&lt;1500,"Low",
N143&lt;3000,"Medium",
N143&lt;4000,"High",
TRUE,"Very High"
)</f>
        <v>Low</v>
      </c>
      <c r="N143">
        <v>658</v>
      </c>
      <c r="O143" t="s">
        <v>792</v>
      </c>
      <c r="P143" t="s">
        <v>54</v>
      </c>
      <c r="Q143" t="s">
        <v>25</v>
      </c>
      <c r="R143">
        <v>698001</v>
      </c>
      <c r="S143" t="s">
        <v>26</v>
      </c>
    </row>
    <row r="144" spans="1:19" x14ac:dyDescent="0.3">
      <c r="A144" t="s">
        <v>793</v>
      </c>
      <c r="B144" t="s">
        <v>219</v>
      </c>
      <c r="C144" t="s">
        <v>183</v>
      </c>
      <c r="D144" t="s">
        <v>220</v>
      </c>
      <c r="E144" t="s">
        <v>794</v>
      </c>
      <c r="F144" t="s">
        <v>795</v>
      </c>
      <c r="G144">
        <v>741516983982</v>
      </c>
      <c r="H144" s="8" t="str">
        <f t="shared" si="4"/>
        <v>1959</v>
      </c>
      <c r="I144" s="1">
        <v>21555</v>
      </c>
      <c r="J144" t="s">
        <v>61</v>
      </c>
      <c r="K144" s="3" t="str">
        <f t="shared" si="5"/>
        <v>2022</v>
      </c>
      <c r="L144" s="1">
        <v>44814</v>
      </c>
      <c r="M144" s="2" t="str" cm="1">
        <f t="array" ref="M144">_xlfn.IFS(
N144&lt;500,"Very Low",
N144&lt;1500,"Low",
N144&lt;3000,"Medium",
N144&lt;4000,"High",
TRUE,"Very High"
)</f>
        <v>Very High</v>
      </c>
      <c r="N144">
        <v>4742</v>
      </c>
      <c r="O144" t="s">
        <v>796</v>
      </c>
      <c r="P144" t="s">
        <v>211</v>
      </c>
      <c r="Q144" t="s">
        <v>35</v>
      </c>
      <c r="R144">
        <v>55908</v>
      </c>
      <c r="S144" t="s">
        <v>36</v>
      </c>
    </row>
    <row r="145" spans="1:19" x14ac:dyDescent="0.3">
      <c r="A145" t="s">
        <v>797</v>
      </c>
      <c r="B145" t="s">
        <v>235</v>
      </c>
      <c r="C145" t="s">
        <v>67</v>
      </c>
      <c r="D145" t="s">
        <v>798</v>
      </c>
      <c r="E145" t="s">
        <v>799</v>
      </c>
      <c r="F145" t="s">
        <v>800</v>
      </c>
      <c r="G145">
        <v>734709082037</v>
      </c>
      <c r="H145" s="8" t="str">
        <f t="shared" si="4"/>
        <v>1989</v>
      </c>
      <c r="I145" s="1">
        <v>32835</v>
      </c>
      <c r="J145" t="s">
        <v>61</v>
      </c>
      <c r="K145" s="3" t="str">
        <f t="shared" si="5"/>
        <v>2021</v>
      </c>
      <c r="L145" s="1">
        <v>44314</v>
      </c>
      <c r="M145" s="2" t="str" cm="1">
        <f t="array" ref="M145">_xlfn.IFS(
N145&lt;500,"Very Low",
N145&lt;1500,"Low",
N145&lt;3000,"Medium",
N145&lt;4000,"High",
TRUE,"Very High"
)</f>
        <v>Very High</v>
      </c>
      <c r="N145">
        <v>4712</v>
      </c>
      <c r="O145" t="s">
        <v>801</v>
      </c>
      <c r="P145" t="s">
        <v>302</v>
      </c>
      <c r="Q145" t="s">
        <v>97</v>
      </c>
      <c r="R145">
        <v>241079</v>
      </c>
      <c r="S145" t="s">
        <v>26</v>
      </c>
    </row>
    <row r="146" spans="1:19" x14ac:dyDescent="0.3">
      <c r="A146" t="s">
        <v>802</v>
      </c>
      <c r="B146" t="s">
        <v>378</v>
      </c>
      <c r="C146" t="s">
        <v>128</v>
      </c>
      <c r="D146" t="s">
        <v>803</v>
      </c>
      <c r="E146" t="s">
        <v>804</v>
      </c>
      <c r="F146" t="s">
        <v>805</v>
      </c>
      <c r="G146">
        <v>727472663112</v>
      </c>
      <c r="H146" s="8" t="str">
        <f t="shared" si="4"/>
        <v>1982</v>
      </c>
      <c r="I146" s="1">
        <v>30082</v>
      </c>
      <c r="J146" t="s">
        <v>22</v>
      </c>
      <c r="K146" s="3" t="str">
        <f t="shared" si="5"/>
        <v>2020</v>
      </c>
      <c r="L146" s="1">
        <v>43832</v>
      </c>
      <c r="M146" s="2" t="str" cm="1">
        <f t="array" ref="M146">_xlfn.IFS(
N146&lt;500,"Very Low",
N146&lt;1500,"Low",
N146&lt;3000,"Medium",
N146&lt;4000,"High",
TRUE,"Very High"
)</f>
        <v>Medium</v>
      </c>
      <c r="N146">
        <v>2364</v>
      </c>
      <c r="O146" t="s">
        <v>806</v>
      </c>
      <c r="P146" t="s">
        <v>417</v>
      </c>
      <c r="Q146" t="s">
        <v>188</v>
      </c>
      <c r="R146">
        <v>985325</v>
      </c>
      <c r="S146" t="s">
        <v>26</v>
      </c>
    </row>
    <row r="147" spans="1:19" x14ac:dyDescent="0.3">
      <c r="A147" t="s">
        <v>807</v>
      </c>
      <c r="B147" t="s">
        <v>17</v>
      </c>
      <c r="C147" t="s">
        <v>84</v>
      </c>
      <c r="D147" t="s">
        <v>808</v>
      </c>
      <c r="E147" t="s">
        <v>809</v>
      </c>
      <c r="F147" t="s">
        <v>810</v>
      </c>
      <c r="G147">
        <v>346480812155</v>
      </c>
      <c r="H147" s="8" t="str">
        <f t="shared" si="4"/>
        <v>1948</v>
      </c>
      <c r="I147" s="1">
        <v>17659</v>
      </c>
      <c r="J147" t="s">
        <v>22</v>
      </c>
      <c r="K147" s="3" t="str">
        <f t="shared" si="5"/>
        <v>2018</v>
      </c>
      <c r="L147" s="1">
        <v>43413</v>
      </c>
      <c r="M147" s="2" t="str" cm="1">
        <f t="array" ref="M147">_xlfn.IFS(
N147&lt;500,"Very Low",
N147&lt;1500,"Low",
N147&lt;3000,"Medium",
N147&lt;4000,"High",
TRUE,"Very High"
)</f>
        <v>Very Low</v>
      </c>
      <c r="N147">
        <v>125</v>
      </c>
      <c r="O147" t="s">
        <v>811</v>
      </c>
      <c r="P147" t="s">
        <v>89</v>
      </c>
      <c r="Q147" t="s">
        <v>200</v>
      </c>
      <c r="R147">
        <v>86049</v>
      </c>
      <c r="S147" t="s">
        <v>36</v>
      </c>
    </row>
    <row r="148" spans="1:19" x14ac:dyDescent="0.3">
      <c r="A148" t="s">
        <v>812</v>
      </c>
      <c r="B148" t="s">
        <v>91</v>
      </c>
      <c r="C148" t="s">
        <v>136</v>
      </c>
      <c r="D148" t="s">
        <v>813</v>
      </c>
      <c r="E148" t="s">
        <v>814</v>
      </c>
      <c r="F148" t="s">
        <v>815</v>
      </c>
      <c r="G148">
        <v>738959406712</v>
      </c>
      <c r="H148" s="8" t="str">
        <f t="shared" si="4"/>
        <v>1961</v>
      </c>
      <c r="I148" s="1">
        <v>22566</v>
      </c>
      <c r="J148" t="s">
        <v>22</v>
      </c>
      <c r="K148" s="3" t="str">
        <f t="shared" si="5"/>
        <v>2019</v>
      </c>
      <c r="L148" s="1">
        <v>43593</v>
      </c>
      <c r="M148" s="2" t="str" cm="1">
        <f t="array" ref="M148">_xlfn.IFS(
N148&lt;500,"Very Low",
N148&lt;1500,"Low",
N148&lt;3000,"Medium",
N148&lt;4000,"High",
TRUE,"Very High"
)</f>
        <v>High</v>
      </c>
      <c r="N148">
        <v>3744</v>
      </c>
      <c r="O148" t="s">
        <v>816</v>
      </c>
      <c r="P148" t="s">
        <v>167</v>
      </c>
      <c r="Q148" t="s">
        <v>200</v>
      </c>
      <c r="R148">
        <v>25544</v>
      </c>
      <c r="S148" t="s">
        <v>36</v>
      </c>
    </row>
    <row r="149" spans="1:19" x14ac:dyDescent="0.3">
      <c r="A149" t="s">
        <v>817</v>
      </c>
      <c r="B149" t="s">
        <v>154</v>
      </c>
      <c r="C149" t="s">
        <v>29</v>
      </c>
      <c r="D149" t="s">
        <v>155</v>
      </c>
      <c r="E149" t="s">
        <v>818</v>
      </c>
      <c r="F149" t="s">
        <v>819</v>
      </c>
      <c r="G149">
        <v>138746018211</v>
      </c>
      <c r="H149" s="8" t="str">
        <f t="shared" si="4"/>
        <v>1996</v>
      </c>
      <c r="I149" s="1">
        <v>35327</v>
      </c>
      <c r="J149" t="s">
        <v>61</v>
      </c>
      <c r="K149" s="3" t="str">
        <f t="shared" si="5"/>
        <v>2021</v>
      </c>
      <c r="L149" s="1">
        <v>44362</v>
      </c>
      <c r="M149" s="2" t="str" cm="1">
        <f t="array" ref="M149">_xlfn.IFS(
N149&lt;500,"Very Low",
N149&lt;1500,"Low",
N149&lt;3000,"Medium",
N149&lt;4000,"High",
TRUE,"Very High"
)</f>
        <v>High</v>
      </c>
      <c r="N149">
        <v>3310</v>
      </c>
      <c r="O149" t="s">
        <v>331</v>
      </c>
      <c r="P149" t="s">
        <v>89</v>
      </c>
      <c r="Q149" t="s">
        <v>45</v>
      </c>
      <c r="R149">
        <v>81894</v>
      </c>
      <c r="S149" t="s">
        <v>36</v>
      </c>
    </row>
    <row r="150" spans="1:19" x14ac:dyDescent="0.3">
      <c r="A150" t="s">
        <v>820</v>
      </c>
      <c r="B150" t="s">
        <v>91</v>
      </c>
      <c r="C150" t="s">
        <v>39</v>
      </c>
      <c r="D150" t="s">
        <v>821</v>
      </c>
      <c r="E150" t="s">
        <v>822</v>
      </c>
      <c r="F150" t="s">
        <v>823</v>
      </c>
      <c r="G150">
        <v>196789306130</v>
      </c>
      <c r="H150" s="8" t="str">
        <f t="shared" si="4"/>
        <v>1956</v>
      </c>
      <c r="I150" s="1">
        <v>20711</v>
      </c>
      <c r="J150" t="s">
        <v>22</v>
      </c>
      <c r="K150" s="3" t="str">
        <f t="shared" si="5"/>
        <v>2018</v>
      </c>
      <c r="L150" s="1">
        <v>43156</v>
      </c>
      <c r="M150" s="2" t="str" cm="1">
        <f t="array" ref="M150">_xlfn.IFS(
N150&lt;500,"Very Low",
N150&lt;1500,"Low",
N150&lt;3000,"Medium",
N150&lt;4000,"High",
TRUE,"Very High"
)</f>
        <v>Very Low</v>
      </c>
      <c r="N150">
        <v>23</v>
      </c>
      <c r="O150" t="s">
        <v>824</v>
      </c>
      <c r="P150" t="s">
        <v>24</v>
      </c>
      <c r="Q150" t="s">
        <v>64</v>
      </c>
      <c r="R150">
        <v>978610</v>
      </c>
      <c r="S150" t="s">
        <v>26</v>
      </c>
    </row>
    <row r="151" spans="1:19" x14ac:dyDescent="0.3">
      <c r="A151" t="s">
        <v>825</v>
      </c>
      <c r="B151" t="s">
        <v>135</v>
      </c>
      <c r="C151" t="s">
        <v>287</v>
      </c>
      <c r="D151" t="s">
        <v>826</v>
      </c>
      <c r="E151" t="s">
        <v>827</v>
      </c>
      <c r="F151" t="s">
        <v>828</v>
      </c>
      <c r="G151">
        <v>220881215236</v>
      </c>
      <c r="H151" s="8" t="str">
        <f t="shared" si="4"/>
        <v>1975</v>
      </c>
      <c r="I151" s="1">
        <v>27510</v>
      </c>
      <c r="J151" t="s">
        <v>52</v>
      </c>
      <c r="K151" s="3" t="str">
        <f t="shared" si="5"/>
        <v>2023</v>
      </c>
      <c r="L151" s="1">
        <v>45051</v>
      </c>
      <c r="M151" s="2" t="str" cm="1">
        <f t="array" ref="M151">_xlfn.IFS(
N151&lt;500,"Very Low",
N151&lt;1500,"Low",
N151&lt;3000,"Medium",
N151&lt;4000,"High",
TRUE,"Very High"
)</f>
        <v>High</v>
      </c>
      <c r="N151">
        <v>3972</v>
      </c>
      <c r="O151" t="s">
        <v>829</v>
      </c>
      <c r="P151" t="s">
        <v>302</v>
      </c>
      <c r="Q151" t="s">
        <v>97</v>
      </c>
      <c r="R151">
        <v>763484</v>
      </c>
      <c r="S151" t="s">
        <v>26</v>
      </c>
    </row>
    <row r="152" spans="1:19" x14ac:dyDescent="0.3">
      <c r="A152" t="s">
        <v>830</v>
      </c>
      <c r="B152" t="s">
        <v>252</v>
      </c>
      <c r="C152" t="s">
        <v>75</v>
      </c>
      <c r="D152" t="s">
        <v>298</v>
      </c>
      <c r="E152" t="s">
        <v>831</v>
      </c>
      <c r="F152" t="s">
        <v>832</v>
      </c>
      <c r="G152">
        <v>400130686356</v>
      </c>
      <c r="H152" s="8" t="str">
        <f t="shared" si="4"/>
        <v>1984</v>
      </c>
      <c r="I152" s="1">
        <v>30751</v>
      </c>
      <c r="J152" t="s">
        <v>52</v>
      </c>
      <c r="K152" s="3" t="str">
        <f t="shared" si="5"/>
        <v>2021</v>
      </c>
      <c r="L152" s="1">
        <v>44390</v>
      </c>
      <c r="M152" s="2" t="str" cm="1">
        <f t="array" ref="M152">_xlfn.IFS(
N152&lt;500,"Very Low",
N152&lt;1500,"Low",
N152&lt;3000,"Medium",
N152&lt;4000,"High",
TRUE,"Very High"
)</f>
        <v>Very Low</v>
      </c>
      <c r="N152">
        <v>315</v>
      </c>
      <c r="O152" t="s">
        <v>833</v>
      </c>
      <c r="P152" t="s">
        <v>89</v>
      </c>
      <c r="Q152" t="s">
        <v>45</v>
      </c>
      <c r="R152">
        <v>45271</v>
      </c>
      <c r="S152" t="s">
        <v>36</v>
      </c>
    </row>
    <row r="153" spans="1:19" x14ac:dyDescent="0.3">
      <c r="A153" t="s">
        <v>834</v>
      </c>
      <c r="B153" t="s">
        <v>142</v>
      </c>
      <c r="C153" t="s">
        <v>183</v>
      </c>
      <c r="D153" t="s">
        <v>835</v>
      </c>
      <c r="E153" t="s">
        <v>836</v>
      </c>
      <c r="F153" t="s">
        <v>837</v>
      </c>
      <c r="G153">
        <v>134548519643</v>
      </c>
      <c r="H153" s="8" t="str">
        <f t="shared" si="4"/>
        <v>1984</v>
      </c>
      <c r="I153" s="1">
        <v>30966</v>
      </c>
      <c r="J153" t="s">
        <v>22</v>
      </c>
      <c r="K153" s="3" t="str">
        <f t="shared" si="5"/>
        <v>2021</v>
      </c>
      <c r="L153" s="1">
        <v>44455</v>
      </c>
      <c r="M153" s="2" t="str" cm="1">
        <f t="array" ref="M153">_xlfn.IFS(
N153&lt;500,"Very Low",
N153&lt;1500,"Low",
N153&lt;3000,"Medium",
N153&lt;4000,"High",
TRUE,"Very High"
)</f>
        <v>Very High</v>
      </c>
      <c r="N153">
        <v>4382</v>
      </c>
      <c r="O153" t="s">
        <v>838</v>
      </c>
      <c r="P153" t="s">
        <v>544</v>
      </c>
      <c r="Q153" t="s">
        <v>97</v>
      </c>
      <c r="R153">
        <v>984301</v>
      </c>
      <c r="S153" t="s">
        <v>26</v>
      </c>
    </row>
    <row r="154" spans="1:19" x14ac:dyDescent="0.3">
      <c r="A154" t="s">
        <v>839</v>
      </c>
      <c r="B154" t="s">
        <v>127</v>
      </c>
      <c r="C154" t="s">
        <v>253</v>
      </c>
      <c r="D154" t="s">
        <v>713</v>
      </c>
      <c r="E154" t="s">
        <v>840</v>
      </c>
      <c r="F154" t="s">
        <v>841</v>
      </c>
      <c r="G154">
        <v>277405141136</v>
      </c>
      <c r="H154" s="8" t="str">
        <f t="shared" si="4"/>
        <v>2004</v>
      </c>
      <c r="I154" s="1">
        <v>38251</v>
      </c>
      <c r="J154" t="s">
        <v>52</v>
      </c>
      <c r="K154" s="3" t="str">
        <f t="shared" si="5"/>
        <v>2021</v>
      </c>
      <c r="L154" s="1">
        <v>44479</v>
      </c>
      <c r="M154" s="2" t="str" cm="1">
        <f t="array" ref="M154">_xlfn.IFS(
N154&lt;500,"Very Low",
N154&lt;1500,"Low",
N154&lt;3000,"Medium",
N154&lt;4000,"High",
TRUE,"Very High"
)</f>
        <v>Medium</v>
      </c>
      <c r="N154">
        <v>2148</v>
      </c>
      <c r="O154" t="s">
        <v>842</v>
      </c>
      <c r="P154" t="s">
        <v>285</v>
      </c>
      <c r="Q154" t="s">
        <v>81</v>
      </c>
      <c r="R154">
        <v>892779</v>
      </c>
      <c r="S154" t="s">
        <v>26</v>
      </c>
    </row>
    <row r="155" spans="1:19" x14ac:dyDescent="0.3">
      <c r="A155" t="s">
        <v>843</v>
      </c>
      <c r="B155" t="s">
        <v>154</v>
      </c>
      <c r="C155" t="s">
        <v>128</v>
      </c>
      <c r="D155" t="s">
        <v>844</v>
      </c>
      <c r="E155" t="s">
        <v>845</v>
      </c>
      <c r="F155" t="s">
        <v>846</v>
      </c>
      <c r="G155">
        <v>759249549721</v>
      </c>
      <c r="H155" s="8" t="str">
        <f t="shared" si="4"/>
        <v>1996</v>
      </c>
      <c r="I155" s="1">
        <v>35257</v>
      </c>
      <c r="J155" t="s">
        <v>61</v>
      </c>
      <c r="K155" s="3" t="str">
        <f t="shared" si="5"/>
        <v>2024</v>
      </c>
      <c r="L155" s="1">
        <v>45575</v>
      </c>
      <c r="M155" s="2" t="str" cm="1">
        <f t="array" ref="M155">_xlfn.IFS(
N155&lt;500,"Very Low",
N155&lt;1500,"Low",
N155&lt;3000,"Medium",
N155&lt;4000,"High",
TRUE,"Very High"
)</f>
        <v>Medium</v>
      </c>
      <c r="N155">
        <v>2708</v>
      </c>
      <c r="O155" t="s">
        <v>847</v>
      </c>
      <c r="P155" t="s">
        <v>417</v>
      </c>
      <c r="Q155" t="s">
        <v>64</v>
      </c>
      <c r="R155">
        <v>954594</v>
      </c>
      <c r="S155" t="s">
        <v>26</v>
      </c>
    </row>
    <row r="156" spans="1:19" x14ac:dyDescent="0.3">
      <c r="A156" t="s">
        <v>848</v>
      </c>
      <c r="B156" t="s">
        <v>489</v>
      </c>
      <c r="C156" t="s">
        <v>590</v>
      </c>
      <c r="D156" t="s">
        <v>849</v>
      </c>
      <c r="E156" t="s">
        <v>850</v>
      </c>
      <c r="F156" t="s">
        <v>851</v>
      </c>
      <c r="G156">
        <v>851659701870</v>
      </c>
      <c r="H156" s="8" t="str">
        <f t="shared" si="4"/>
        <v>1959</v>
      </c>
      <c r="I156" s="1">
        <v>21635</v>
      </c>
      <c r="J156" t="s">
        <v>22</v>
      </c>
      <c r="K156" s="3" t="str">
        <f t="shared" si="5"/>
        <v>2019</v>
      </c>
      <c r="L156" s="1">
        <v>43602</v>
      </c>
      <c r="M156" s="2" t="str" cm="1">
        <f t="array" ref="M156">_xlfn.IFS(
N156&lt;500,"Very Low",
N156&lt;1500,"Low",
N156&lt;3000,"Medium",
N156&lt;4000,"High",
TRUE,"Very High"
)</f>
        <v>Very Low</v>
      </c>
      <c r="N156">
        <v>160</v>
      </c>
      <c r="O156" t="s">
        <v>210</v>
      </c>
      <c r="P156" t="s">
        <v>24</v>
      </c>
      <c r="Q156" t="s">
        <v>25</v>
      </c>
      <c r="R156">
        <v>664119</v>
      </c>
      <c r="S156" t="s">
        <v>26</v>
      </c>
    </row>
    <row r="157" spans="1:19" x14ac:dyDescent="0.3">
      <c r="A157" t="s">
        <v>852</v>
      </c>
      <c r="B157" t="s">
        <v>38</v>
      </c>
      <c r="C157" t="s">
        <v>128</v>
      </c>
      <c r="D157" t="s">
        <v>853</v>
      </c>
      <c r="E157" t="s">
        <v>854</v>
      </c>
      <c r="F157" t="s">
        <v>855</v>
      </c>
      <c r="G157">
        <v>569420465423</v>
      </c>
      <c r="H157" s="8" t="str">
        <f t="shared" si="4"/>
        <v>1941</v>
      </c>
      <c r="I157" s="1">
        <v>15032</v>
      </c>
      <c r="J157" t="s">
        <v>22</v>
      </c>
      <c r="K157" s="3" t="str">
        <f t="shared" si="5"/>
        <v>2022</v>
      </c>
      <c r="L157" s="1">
        <v>44563</v>
      </c>
      <c r="M157" s="2" t="str" cm="1">
        <f t="array" ref="M157">_xlfn.IFS(
N157&lt;500,"Very Low",
N157&lt;1500,"Low",
N157&lt;3000,"Medium",
N157&lt;4000,"High",
TRUE,"Very High"
)</f>
        <v>Very Low</v>
      </c>
      <c r="N157">
        <v>237</v>
      </c>
      <c r="O157" t="s">
        <v>856</v>
      </c>
      <c r="P157" t="s">
        <v>133</v>
      </c>
      <c r="Q157" t="s">
        <v>167</v>
      </c>
      <c r="R157">
        <v>89948</v>
      </c>
      <c r="S157" t="s">
        <v>36</v>
      </c>
    </row>
    <row r="158" spans="1:19" x14ac:dyDescent="0.3">
      <c r="A158" t="s">
        <v>857</v>
      </c>
      <c r="B158" t="s">
        <v>135</v>
      </c>
      <c r="C158" t="s">
        <v>48</v>
      </c>
      <c r="D158" t="s">
        <v>858</v>
      </c>
      <c r="E158" t="s">
        <v>859</v>
      </c>
      <c r="F158" t="s">
        <v>860</v>
      </c>
      <c r="G158">
        <v>536216495904</v>
      </c>
      <c r="H158" s="8" t="str">
        <f t="shared" si="4"/>
        <v>1981</v>
      </c>
      <c r="I158" s="1">
        <v>29765</v>
      </c>
      <c r="J158" t="s">
        <v>61</v>
      </c>
      <c r="K158" s="3" t="str">
        <f t="shared" si="5"/>
        <v>2023</v>
      </c>
      <c r="L158" s="1">
        <v>45132</v>
      </c>
      <c r="M158" s="2" t="str" cm="1">
        <f t="array" ref="M158">_xlfn.IFS(
N158&lt;500,"Very Low",
N158&lt;1500,"Low",
N158&lt;3000,"Medium",
N158&lt;4000,"High",
TRUE,"Very High"
)</f>
        <v>High</v>
      </c>
      <c r="N158">
        <v>3845</v>
      </c>
      <c r="O158" t="s">
        <v>861</v>
      </c>
      <c r="P158" t="s">
        <v>72</v>
      </c>
      <c r="Q158" t="s">
        <v>35</v>
      </c>
      <c r="R158">
        <v>22969</v>
      </c>
      <c r="S158" t="s">
        <v>36</v>
      </c>
    </row>
    <row r="159" spans="1:19" x14ac:dyDescent="0.3">
      <c r="A159" t="s">
        <v>862</v>
      </c>
      <c r="B159" t="s">
        <v>154</v>
      </c>
      <c r="C159" t="s">
        <v>92</v>
      </c>
      <c r="D159" t="s">
        <v>281</v>
      </c>
      <c r="E159" t="s">
        <v>863</v>
      </c>
      <c r="F159" t="s">
        <v>864</v>
      </c>
      <c r="G159">
        <v>319787590252</v>
      </c>
      <c r="H159" s="8" t="str">
        <f t="shared" si="4"/>
        <v>1981</v>
      </c>
      <c r="I159" s="1">
        <v>29760</v>
      </c>
      <c r="J159" t="s">
        <v>61</v>
      </c>
      <c r="K159" s="3" t="str">
        <f t="shared" si="5"/>
        <v>2020</v>
      </c>
      <c r="L159" s="1">
        <v>44098</v>
      </c>
      <c r="M159" s="2" t="str" cm="1">
        <f t="array" ref="M159">_xlfn.IFS(
N159&lt;500,"Very Low",
N159&lt;1500,"Low",
N159&lt;3000,"Medium",
N159&lt;4000,"High",
TRUE,"Very High"
)</f>
        <v>Very High</v>
      </c>
      <c r="N159">
        <v>4153</v>
      </c>
      <c r="O159" t="s">
        <v>865</v>
      </c>
      <c r="P159" t="s">
        <v>112</v>
      </c>
      <c r="Q159" t="s">
        <v>147</v>
      </c>
      <c r="R159">
        <v>900603</v>
      </c>
      <c r="S159" t="s">
        <v>26</v>
      </c>
    </row>
    <row r="160" spans="1:19" x14ac:dyDescent="0.3">
      <c r="A160" t="s">
        <v>866</v>
      </c>
      <c r="B160" t="s">
        <v>402</v>
      </c>
      <c r="C160" t="s">
        <v>67</v>
      </c>
      <c r="D160" t="s">
        <v>867</v>
      </c>
      <c r="E160" t="s">
        <v>868</v>
      </c>
      <c r="F160" t="s">
        <v>869</v>
      </c>
      <c r="G160">
        <v>752614832708</v>
      </c>
      <c r="H160" s="8" t="str">
        <f t="shared" si="4"/>
        <v>1991</v>
      </c>
      <c r="I160" s="1">
        <v>33598</v>
      </c>
      <c r="J160" t="s">
        <v>61</v>
      </c>
      <c r="K160" s="3" t="str">
        <f t="shared" si="5"/>
        <v>2022</v>
      </c>
      <c r="L160" s="1">
        <v>44738</v>
      </c>
      <c r="M160" s="2" t="str" cm="1">
        <f t="array" ref="M160">_xlfn.IFS(
N160&lt;500,"Very Low",
N160&lt;1500,"Low",
N160&lt;3000,"Medium",
N160&lt;4000,"High",
TRUE,"Very High"
)</f>
        <v>Medium</v>
      </c>
      <c r="N160">
        <v>2290</v>
      </c>
      <c r="O160" t="s">
        <v>457</v>
      </c>
      <c r="P160" t="s">
        <v>89</v>
      </c>
      <c r="Q160" t="s">
        <v>167</v>
      </c>
      <c r="R160">
        <v>99340</v>
      </c>
      <c r="S160" t="s">
        <v>36</v>
      </c>
    </row>
    <row r="161" spans="1:19" x14ac:dyDescent="0.3">
      <c r="A161" t="s">
        <v>870</v>
      </c>
      <c r="B161" t="s">
        <v>270</v>
      </c>
      <c r="C161" t="s">
        <v>136</v>
      </c>
      <c r="D161" t="s">
        <v>871</v>
      </c>
      <c r="E161" t="s">
        <v>872</v>
      </c>
      <c r="F161" t="s">
        <v>873</v>
      </c>
      <c r="G161">
        <v>173287719539</v>
      </c>
      <c r="H161" s="8" t="str">
        <f t="shared" si="4"/>
        <v>2001</v>
      </c>
      <c r="I161" s="1">
        <v>37182</v>
      </c>
      <c r="J161" t="s">
        <v>61</v>
      </c>
      <c r="K161" s="3" t="str">
        <f t="shared" si="5"/>
        <v>2023</v>
      </c>
      <c r="L161" s="1">
        <v>45185</v>
      </c>
      <c r="M161" s="2" t="str" cm="1">
        <f t="array" ref="M161">_xlfn.IFS(
N161&lt;500,"Very Low",
N161&lt;1500,"Low",
N161&lt;3000,"Medium",
N161&lt;4000,"High",
TRUE,"Very High"
)</f>
        <v>Low</v>
      </c>
      <c r="N161">
        <v>1199</v>
      </c>
      <c r="O161" t="s">
        <v>874</v>
      </c>
      <c r="P161" t="s">
        <v>211</v>
      </c>
      <c r="Q161" t="s">
        <v>45</v>
      </c>
      <c r="R161">
        <v>12168</v>
      </c>
      <c r="S161" t="s">
        <v>36</v>
      </c>
    </row>
    <row r="162" spans="1:19" x14ac:dyDescent="0.3">
      <c r="A162" t="s">
        <v>875</v>
      </c>
      <c r="B162" t="s">
        <v>489</v>
      </c>
      <c r="C162" t="s">
        <v>48</v>
      </c>
      <c r="D162" t="s">
        <v>605</v>
      </c>
      <c r="E162" t="s">
        <v>876</v>
      </c>
      <c r="F162" t="s">
        <v>877</v>
      </c>
      <c r="G162">
        <v>480043389312</v>
      </c>
      <c r="H162" s="8" t="str">
        <f t="shared" si="4"/>
        <v>1977</v>
      </c>
      <c r="I162" s="1">
        <v>28401</v>
      </c>
      <c r="J162" t="s">
        <v>61</v>
      </c>
      <c r="K162" s="3" t="str">
        <f t="shared" si="5"/>
        <v>2023</v>
      </c>
      <c r="L162" s="1">
        <v>45177</v>
      </c>
      <c r="M162" s="2" t="str" cm="1">
        <f t="array" ref="M162">_xlfn.IFS(
N162&lt;500,"Very Low",
N162&lt;1500,"Low",
N162&lt;3000,"Medium",
N162&lt;4000,"High",
TRUE,"Very High"
)</f>
        <v>Very High</v>
      </c>
      <c r="N162">
        <v>4639</v>
      </c>
      <c r="O162" t="s">
        <v>878</v>
      </c>
      <c r="P162" t="s">
        <v>63</v>
      </c>
      <c r="Q162" t="s">
        <v>205</v>
      </c>
      <c r="R162">
        <v>351847</v>
      </c>
      <c r="S162" t="s">
        <v>26</v>
      </c>
    </row>
    <row r="163" spans="1:19" x14ac:dyDescent="0.3">
      <c r="A163" t="s">
        <v>879</v>
      </c>
      <c r="B163" t="s">
        <v>182</v>
      </c>
      <c r="C163" t="s">
        <v>136</v>
      </c>
      <c r="D163" t="s">
        <v>880</v>
      </c>
      <c r="E163" t="s">
        <v>881</v>
      </c>
      <c r="F163" t="s">
        <v>882</v>
      </c>
      <c r="G163">
        <v>875488591616</v>
      </c>
      <c r="H163" s="8" t="str">
        <f t="shared" si="4"/>
        <v>1999</v>
      </c>
      <c r="I163" s="1">
        <v>36284</v>
      </c>
      <c r="J163" t="s">
        <v>61</v>
      </c>
      <c r="K163" s="3" t="str">
        <f t="shared" si="5"/>
        <v>2023</v>
      </c>
      <c r="L163" s="1">
        <v>45253</v>
      </c>
      <c r="M163" s="2" t="str" cm="1">
        <f t="array" ref="M163">_xlfn.IFS(
N163&lt;500,"Very Low",
N163&lt;1500,"Low",
N163&lt;3000,"Medium",
N163&lt;4000,"High",
TRUE,"Very High"
)</f>
        <v>Very High</v>
      </c>
      <c r="N163">
        <v>4662</v>
      </c>
      <c r="O163" t="s">
        <v>883</v>
      </c>
      <c r="P163" t="s">
        <v>174</v>
      </c>
      <c r="Q163" t="s">
        <v>45</v>
      </c>
      <c r="R163">
        <v>83698</v>
      </c>
      <c r="S163" t="s">
        <v>36</v>
      </c>
    </row>
    <row r="164" spans="1:19" x14ac:dyDescent="0.3">
      <c r="A164" t="s">
        <v>884</v>
      </c>
      <c r="B164" t="s">
        <v>127</v>
      </c>
      <c r="C164" t="s">
        <v>136</v>
      </c>
      <c r="D164" t="s">
        <v>885</v>
      </c>
      <c r="E164" t="s">
        <v>886</v>
      </c>
      <c r="F164" t="s">
        <v>887</v>
      </c>
      <c r="G164">
        <v>421009979162</v>
      </c>
      <c r="H164" s="8" t="str">
        <f t="shared" si="4"/>
        <v>2005</v>
      </c>
      <c r="I164" s="1">
        <v>38441</v>
      </c>
      <c r="J164" t="s">
        <v>52</v>
      </c>
      <c r="K164" s="3" t="str">
        <f t="shared" si="5"/>
        <v>2024</v>
      </c>
      <c r="L164" s="1">
        <v>45402</v>
      </c>
      <c r="M164" s="2" t="str" cm="1">
        <f t="array" ref="M164">_xlfn.IFS(
N164&lt;500,"Very Low",
N164&lt;1500,"Low",
N164&lt;3000,"Medium",
N164&lt;4000,"High",
TRUE,"Very High"
)</f>
        <v>Very Low</v>
      </c>
      <c r="N164">
        <v>83</v>
      </c>
      <c r="O164" t="s">
        <v>888</v>
      </c>
      <c r="P164" t="s">
        <v>44</v>
      </c>
      <c r="Q164" t="s">
        <v>45</v>
      </c>
      <c r="R164">
        <v>42393</v>
      </c>
      <c r="S164" t="s">
        <v>36</v>
      </c>
    </row>
    <row r="165" spans="1:19" x14ac:dyDescent="0.3">
      <c r="A165" t="s">
        <v>889</v>
      </c>
      <c r="B165" t="s">
        <v>235</v>
      </c>
      <c r="C165" t="s">
        <v>92</v>
      </c>
      <c r="D165" t="s">
        <v>890</v>
      </c>
      <c r="E165" t="s">
        <v>891</v>
      </c>
      <c r="F165" t="s">
        <v>892</v>
      </c>
      <c r="G165">
        <v>461497564447</v>
      </c>
      <c r="H165" s="8" t="str">
        <f t="shared" si="4"/>
        <v>1989</v>
      </c>
      <c r="I165" s="1">
        <v>32859</v>
      </c>
      <c r="J165" t="s">
        <v>52</v>
      </c>
      <c r="K165" s="3" t="str">
        <f t="shared" si="5"/>
        <v>2021</v>
      </c>
      <c r="L165" s="1">
        <v>44308</v>
      </c>
      <c r="M165" s="2" t="str" cm="1">
        <f t="array" ref="M165">_xlfn.IFS(
N165&lt;500,"Very Low",
N165&lt;1500,"Low",
N165&lt;3000,"Medium",
N165&lt;4000,"High",
TRUE,"Very High"
)</f>
        <v>Medium</v>
      </c>
      <c r="N165">
        <v>2772</v>
      </c>
      <c r="O165" t="s">
        <v>893</v>
      </c>
      <c r="P165" t="s">
        <v>159</v>
      </c>
      <c r="Q165" t="s">
        <v>73</v>
      </c>
      <c r="R165">
        <v>98215</v>
      </c>
      <c r="S165" t="s">
        <v>36</v>
      </c>
    </row>
    <row r="166" spans="1:19" x14ac:dyDescent="0.3">
      <c r="A166" t="s">
        <v>894</v>
      </c>
      <c r="B166" t="s">
        <v>38</v>
      </c>
      <c r="C166" t="s">
        <v>128</v>
      </c>
      <c r="D166" t="s">
        <v>853</v>
      </c>
      <c r="E166" t="s">
        <v>895</v>
      </c>
      <c r="F166" t="s">
        <v>896</v>
      </c>
      <c r="G166">
        <v>749391247826</v>
      </c>
      <c r="H166" s="8" t="str">
        <f t="shared" si="4"/>
        <v>1997</v>
      </c>
      <c r="I166" s="1">
        <v>35731</v>
      </c>
      <c r="J166" t="s">
        <v>22</v>
      </c>
      <c r="K166" s="3" t="str">
        <f t="shared" si="5"/>
        <v>2018</v>
      </c>
      <c r="L166" s="1">
        <v>43226</v>
      </c>
      <c r="M166" s="2" t="str" cm="1">
        <f t="array" ref="M166">_xlfn.IFS(
N166&lt;500,"Very Low",
N166&lt;1500,"Low",
N166&lt;3000,"Medium",
N166&lt;4000,"High",
TRUE,"Very High"
)</f>
        <v>Very High</v>
      </c>
      <c r="N166">
        <v>4788</v>
      </c>
      <c r="O166" t="s">
        <v>897</v>
      </c>
      <c r="P166" t="s">
        <v>111</v>
      </c>
      <c r="Q166" t="s">
        <v>25</v>
      </c>
      <c r="R166">
        <v>776608</v>
      </c>
      <c r="S166" t="s">
        <v>26</v>
      </c>
    </row>
    <row r="167" spans="1:19" x14ac:dyDescent="0.3">
      <c r="A167" t="s">
        <v>898</v>
      </c>
      <c r="B167" t="s">
        <v>47</v>
      </c>
      <c r="C167" t="s">
        <v>39</v>
      </c>
      <c r="D167" t="s">
        <v>899</v>
      </c>
      <c r="E167" t="s">
        <v>900</v>
      </c>
      <c r="F167" t="s">
        <v>901</v>
      </c>
      <c r="G167">
        <v>812102254374</v>
      </c>
      <c r="H167" s="8" t="str">
        <f t="shared" si="4"/>
        <v>2003</v>
      </c>
      <c r="I167" s="1">
        <v>37950</v>
      </c>
      <c r="J167" t="s">
        <v>61</v>
      </c>
      <c r="K167" s="3" t="str">
        <f t="shared" si="5"/>
        <v>2022</v>
      </c>
      <c r="L167" s="1">
        <v>44829</v>
      </c>
      <c r="M167" s="2" t="str" cm="1">
        <f t="array" ref="M167">_xlfn.IFS(
N167&lt;500,"Very Low",
N167&lt;1500,"Low",
N167&lt;3000,"Medium",
N167&lt;4000,"High",
TRUE,"Very High"
)</f>
        <v>Very High</v>
      </c>
      <c r="N167">
        <v>4906</v>
      </c>
      <c r="O167" t="s">
        <v>902</v>
      </c>
      <c r="P167" t="s">
        <v>72</v>
      </c>
      <c r="Q167" t="s">
        <v>35</v>
      </c>
      <c r="R167">
        <v>15609</v>
      </c>
      <c r="S167" t="s">
        <v>36</v>
      </c>
    </row>
    <row r="168" spans="1:19" x14ac:dyDescent="0.3">
      <c r="A168" t="s">
        <v>903</v>
      </c>
      <c r="B168" t="s">
        <v>259</v>
      </c>
      <c r="C168" t="s">
        <v>162</v>
      </c>
      <c r="D168" t="s">
        <v>904</v>
      </c>
      <c r="E168" t="s">
        <v>905</v>
      </c>
      <c r="F168" t="s">
        <v>906</v>
      </c>
      <c r="G168">
        <v>513380094957</v>
      </c>
      <c r="H168" s="8" t="str">
        <f t="shared" si="4"/>
        <v>1973</v>
      </c>
      <c r="I168" s="1">
        <v>26838</v>
      </c>
      <c r="J168" t="s">
        <v>61</v>
      </c>
      <c r="K168" s="3" t="str">
        <f t="shared" si="5"/>
        <v>2024</v>
      </c>
      <c r="L168" s="1">
        <v>45535</v>
      </c>
      <c r="M168" s="2" t="str" cm="1">
        <f t="array" ref="M168">_xlfn.IFS(
N168&lt;500,"Very Low",
N168&lt;1500,"Low",
N168&lt;3000,"Medium",
N168&lt;4000,"High",
TRUE,"Very High"
)</f>
        <v>High</v>
      </c>
      <c r="N168">
        <v>3880</v>
      </c>
      <c r="O168" t="s">
        <v>907</v>
      </c>
      <c r="P168" t="s">
        <v>544</v>
      </c>
      <c r="Q168" t="s">
        <v>147</v>
      </c>
      <c r="R168">
        <v>667059</v>
      </c>
      <c r="S168" t="s">
        <v>26</v>
      </c>
    </row>
    <row r="169" spans="1:19" x14ac:dyDescent="0.3">
      <c r="A169" t="s">
        <v>908</v>
      </c>
      <c r="B169" t="s">
        <v>106</v>
      </c>
      <c r="C169" t="s">
        <v>162</v>
      </c>
      <c r="D169" t="s">
        <v>909</v>
      </c>
      <c r="E169" t="s">
        <v>910</v>
      </c>
      <c r="F169" t="s">
        <v>911</v>
      </c>
      <c r="G169">
        <v>351682810981</v>
      </c>
      <c r="H169" s="8" t="str">
        <f t="shared" si="4"/>
        <v>1997</v>
      </c>
      <c r="I169" s="1">
        <v>35488</v>
      </c>
      <c r="J169" t="s">
        <v>22</v>
      </c>
      <c r="K169" s="3" t="str">
        <f t="shared" si="5"/>
        <v>2025</v>
      </c>
      <c r="L169" s="1">
        <v>45840</v>
      </c>
      <c r="M169" s="2" t="str" cm="1">
        <f t="array" ref="M169">_xlfn.IFS(
N169&lt;500,"Very Low",
N169&lt;1500,"Low",
N169&lt;3000,"Medium",
N169&lt;4000,"High",
TRUE,"Very High"
)</f>
        <v>Medium</v>
      </c>
      <c r="N169">
        <v>2469</v>
      </c>
      <c r="O169" t="s">
        <v>912</v>
      </c>
      <c r="P169" t="s">
        <v>111</v>
      </c>
      <c r="Q169" t="s">
        <v>112</v>
      </c>
      <c r="R169">
        <v>912185</v>
      </c>
      <c r="S169" t="s">
        <v>26</v>
      </c>
    </row>
    <row r="170" spans="1:19" x14ac:dyDescent="0.3">
      <c r="A170" t="s">
        <v>913</v>
      </c>
      <c r="B170" t="s">
        <v>235</v>
      </c>
      <c r="C170" t="s">
        <v>84</v>
      </c>
      <c r="D170" t="s">
        <v>914</v>
      </c>
      <c r="E170" t="s">
        <v>915</v>
      </c>
      <c r="F170" t="s">
        <v>916</v>
      </c>
      <c r="G170">
        <v>379585797771</v>
      </c>
      <c r="H170" s="8" t="str">
        <f t="shared" si="4"/>
        <v>1958</v>
      </c>
      <c r="I170" s="1">
        <v>21408</v>
      </c>
      <c r="J170" t="s">
        <v>52</v>
      </c>
      <c r="K170" s="3" t="str">
        <f t="shared" si="5"/>
        <v>2018</v>
      </c>
      <c r="L170" s="1">
        <v>43195</v>
      </c>
      <c r="M170" s="2" t="str" cm="1">
        <f t="array" ref="M170">_xlfn.IFS(
N170&lt;500,"Very Low",
N170&lt;1500,"Low",
N170&lt;3000,"Medium",
N170&lt;4000,"High",
TRUE,"Very High"
)</f>
        <v>Medium</v>
      </c>
      <c r="N170">
        <v>1544</v>
      </c>
      <c r="O170" t="s">
        <v>917</v>
      </c>
      <c r="P170" t="s">
        <v>72</v>
      </c>
      <c r="Q170" t="s">
        <v>200</v>
      </c>
      <c r="R170">
        <v>28496</v>
      </c>
      <c r="S170" t="s">
        <v>36</v>
      </c>
    </row>
    <row r="171" spans="1:19" x14ac:dyDescent="0.3">
      <c r="A171" t="s">
        <v>918</v>
      </c>
      <c r="B171" t="s">
        <v>135</v>
      </c>
      <c r="C171" t="s">
        <v>48</v>
      </c>
      <c r="D171" t="s">
        <v>858</v>
      </c>
      <c r="E171" t="s">
        <v>919</v>
      </c>
      <c r="F171" t="s">
        <v>920</v>
      </c>
      <c r="G171">
        <v>213818579842</v>
      </c>
      <c r="H171" s="8" t="str">
        <f t="shared" si="4"/>
        <v>1986</v>
      </c>
      <c r="I171" s="1">
        <v>31584</v>
      </c>
      <c r="J171" t="s">
        <v>52</v>
      </c>
      <c r="K171" s="3" t="str">
        <f t="shared" si="5"/>
        <v>2023</v>
      </c>
      <c r="L171" s="1">
        <v>44961</v>
      </c>
      <c r="M171" s="2" t="str" cm="1">
        <f t="array" ref="M171">_xlfn.IFS(
N171&lt;500,"Very Low",
N171&lt;1500,"Low",
N171&lt;3000,"Medium",
N171&lt;4000,"High",
TRUE,"Very High"
)</f>
        <v>Very Low</v>
      </c>
      <c r="N171">
        <v>369</v>
      </c>
      <c r="O171" t="s">
        <v>921</v>
      </c>
      <c r="P171" t="s">
        <v>159</v>
      </c>
      <c r="Q171" t="s">
        <v>167</v>
      </c>
      <c r="R171">
        <v>33951</v>
      </c>
      <c r="S171" t="s">
        <v>36</v>
      </c>
    </row>
    <row r="172" spans="1:19" x14ac:dyDescent="0.3">
      <c r="A172" t="s">
        <v>922</v>
      </c>
      <c r="B172" t="s">
        <v>161</v>
      </c>
      <c r="C172" t="s">
        <v>128</v>
      </c>
      <c r="D172" t="s">
        <v>923</v>
      </c>
      <c r="E172" t="s">
        <v>924</v>
      </c>
      <c r="F172" t="s">
        <v>925</v>
      </c>
      <c r="G172">
        <v>924518174950</v>
      </c>
      <c r="H172" s="8" t="str">
        <f t="shared" si="4"/>
        <v>1958</v>
      </c>
      <c r="I172" s="1">
        <v>21404</v>
      </c>
      <c r="J172" t="s">
        <v>52</v>
      </c>
      <c r="K172" s="3" t="str">
        <f t="shared" si="5"/>
        <v>2021</v>
      </c>
      <c r="L172" s="1">
        <v>44402</v>
      </c>
      <c r="M172" s="2" t="str" cm="1">
        <f t="array" ref="M172">_xlfn.IFS(
N172&lt;500,"Very Low",
N172&lt;1500,"Low",
N172&lt;3000,"Medium",
N172&lt;4000,"High",
TRUE,"Very High"
)</f>
        <v>Very High</v>
      </c>
      <c r="N172">
        <v>4253</v>
      </c>
      <c r="O172" t="s">
        <v>926</v>
      </c>
      <c r="P172" t="s">
        <v>417</v>
      </c>
      <c r="Q172" t="s">
        <v>97</v>
      </c>
      <c r="R172">
        <v>343983</v>
      </c>
      <c r="S172" t="s">
        <v>26</v>
      </c>
    </row>
    <row r="173" spans="1:19" x14ac:dyDescent="0.3">
      <c r="A173" t="s">
        <v>927</v>
      </c>
      <c r="B173" t="s">
        <v>342</v>
      </c>
      <c r="C173" t="s">
        <v>39</v>
      </c>
      <c r="D173" t="s">
        <v>928</v>
      </c>
      <c r="E173" t="s">
        <v>929</v>
      </c>
      <c r="F173" t="s">
        <v>930</v>
      </c>
      <c r="G173">
        <v>788468712962</v>
      </c>
      <c r="H173" s="8" t="str">
        <f t="shared" si="4"/>
        <v>1970</v>
      </c>
      <c r="I173" s="1">
        <v>25865</v>
      </c>
      <c r="J173" t="s">
        <v>52</v>
      </c>
      <c r="K173" s="3" t="str">
        <f t="shared" si="5"/>
        <v>2022</v>
      </c>
      <c r="L173" s="1">
        <v>44835</v>
      </c>
      <c r="M173" s="2" t="str" cm="1">
        <f t="array" ref="M173">_xlfn.IFS(
N173&lt;500,"Very Low",
N173&lt;1500,"Low",
N173&lt;3000,"Medium",
N173&lt;4000,"High",
TRUE,"Very High"
)</f>
        <v>Very Low</v>
      </c>
      <c r="N173">
        <v>255</v>
      </c>
      <c r="O173" t="s">
        <v>931</v>
      </c>
      <c r="P173" t="s">
        <v>24</v>
      </c>
      <c r="Q173" t="s">
        <v>97</v>
      </c>
      <c r="R173">
        <v>216551</v>
      </c>
      <c r="S173" t="s">
        <v>26</v>
      </c>
    </row>
    <row r="174" spans="1:19" x14ac:dyDescent="0.3">
      <c r="A174" t="s">
        <v>932</v>
      </c>
      <c r="B174" t="s">
        <v>252</v>
      </c>
      <c r="C174" t="s">
        <v>57</v>
      </c>
      <c r="D174" t="s">
        <v>933</v>
      </c>
      <c r="E174" t="s">
        <v>934</v>
      </c>
      <c r="F174" t="s">
        <v>935</v>
      </c>
      <c r="G174">
        <v>270424071015</v>
      </c>
      <c r="H174" s="8" t="str">
        <f t="shared" si="4"/>
        <v>1980</v>
      </c>
      <c r="I174" s="1">
        <v>29521</v>
      </c>
      <c r="J174" t="s">
        <v>52</v>
      </c>
      <c r="K174" s="3" t="str">
        <f t="shared" si="5"/>
        <v>2019</v>
      </c>
      <c r="L174" s="1">
        <v>43771</v>
      </c>
      <c r="M174" s="2" t="str" cm="1">
        <f t="array" ref="M174">_xlfn.IFS(
N174&lt;500,"Very Low",
N174&lt;1500,"Low",
N174&lt;3000,"Medium",
N174&lt;4000,"High",
TRUE,"Very High"
)</f>
        <v>Very High</v>
      </c>
      <c r="N174">
        <v>4655</v>
      </c>
      <c r="O174" t="s">
        <v>936</v>
      </c>
      <c r="P174" t="s">
        <v>24</v>
      </c>
      <c r="Q174" t="s">
        <v>120</v>
      </c>
      <c r="R174">
        <v>326283</v>
      </c>
      <c r="S174" t="s">
        <v>26</v>
      </c>
    </row>
    <row r="175" spans="1:19" x14ac:dyDescent="0.3">
      <c r="A175" t="s">
        <v>937</v>
      </c>
      <c r="B175" t="s">
        <v>402</v>
      </c>
      <c r="C175" t="s">
        <v>162</v>
      </c>
      <c r="D175" t="s">
        <v>630</v>
      </c>
      <c r="E175" t="s">
        <v>938</v>
      </c>
      <c r="F175" t="s">
        <v>939</v>
      </c>
      <c r="G175">
        <v>961030195516</v>
      </c>
      <c r="H175" s="8" t="str">
        <f t="shared" si="4"/>
        <v>1987</v>
      </c>
      <c r="I175" s="1">
        <v>31892</v>
      </c>
      <c r="J175" t="s">
        <v>61</v>
      </c>
      <c r="K175" s="3" t="str">
        <f t="shared" si="5"/>
        <v>2024</v>
      </c>
      <c r="L175" s="1">
        <v>45414</v>
      </c>
      <c r="M175" s="2" t="str" cm="1">
        <f t="array" ref="M175">_xlfn.IFS(
N175&lt;500,"Very Low",
N175&lt;1500,"Low",
N175&lt;3000,"Medium",
N175&lt;4000,"High",
TRUE,"Very High"
)</f>
        <v>Very Low</v>
      </c>
      <c r="N175">
        <v>66</v>
      </c>
      <c r="O175" t="s">
        <v>940</v>
      </c>
      <c r="P175" t="s">
        <v>285</v>
      </c>
      <c r="Q175" t="s">
        <v>205</v>
      </c>
      <c r="R175">
        <v>283430</v>
      </c>
      <c r="S175" t="s">
        <v>26</v>
      </c>
    </row>
    <row r="176" spans="1:19" x14ac:dyDescent="0.3">
      <c r="A176" t="s">
        <v>941</v>
      </c>
      <c r="B176" t="s">
        <v>342</v>
      </c>
      <c r="C176" t="s">
        <v>100</v>
      </c>
      <c r="D176" t="s">
        <v>942</v>
      </c>
      <c r="E176" t="s">
        <v>943</v>
      </c>
      <c r="F176" t="s">
        <v>944</v>
      </c>
      <c r="G176">
        <v>180783530693</v>
      </c>
      <c r="H176" s="8" t="str">
        <f t="shared" si="4"/>
        <v>1988</v>
      </c>
      <c r="I176" s="1">
        <v>32361</v>
      </c>
      <c r="J176" t="s">
        <v>61</v>
      </c>
      <c r="K176" s="3" t="str">
        <f t="shared" si="5"/>
        <v>2019</v>
      </c>
      <c r="L176" s="1">
        <v>43702</v>
      </c>
      <c r="M176" s="2" t="str" cm="1">
        <f t="array" ref="M176">_xlfn.IFS(
N176&lt;500,"Very Low",
N176&lt;1500,"Low",
N176&lt;3000,"Medium",
N176&lt;4000,"High",
TRUE,"Very High"
)</f>
        <v>Very High</v>
      </c>
      <c r="N176">
        <v>4776</v>
      </c>
      <c r="O176" t="s">
        <v>945</v>
      </c>
      <c r="P176" t="s">
        <v>544</v>
      </c>
      <c r="Q176" t="s">
        <v>81</v>
      </c>
      <c r="R176">
        <v>752750</v>
      </c>
      <c r="S176" t="s">
        <v>26</v>
      </c>
    </row>
    <row r="177" spans="1:19" x14ac:dyDescent="0.3">
      <c r="A177" t="s">
        <v>946</v>
      </c>
      <c r="B177" t="s">
        <v>114</v>
      </c>
      <c r="C177" t="s">
        <v>183</v>
      </c>
      <c r="D177" t="s">
        <v>947</v>
      </c>
      <c r="E177" t="s">
        <v>948</v>
      </c>
      <c r="F177" t="s">
        <v>949</v>
      </c>
      <c r="G177">
        <v>348067616160</v>
      </c>
      <c r="H177" s="8" t="str">
        <f t="shared" si="4"/>
        <v>1951</v>
      </c>
      <c r="I177" s="1">
        <v>18705</v>
      </c>
      <c r="J177" t="s">
        <v>52</v>
      </c>
      <c r="K177" s="3" t="str">
        <f t="shared" si="5"/>
        <v>2024</v>
      </c>
      <c r="L177" s="1">
        <v>45554</v>
      </c>
      <c r="M177" s="2" t="str" cm="1">
        <f t="array" ref="M177">_xlfn.IFS(
N177&lt;500,"Very Low",
N177&lt;1500,"Low",
N177&lt;3000,"Medium",
N177&lt;4000,"High",
TRUE,"Very High"
)</f>
        <v>Very High</v>
      </c>
      <c r="N177">
        <v>4685</v>
      </c>
      <c r="O177" t="s">
        <v>950</v>
      </c>
      <c r="P177" t="s">
        <v>89</v>
      </c>
      <c r="Q177" t="s">
        <v>200</v>
      </c>
      <c r="R177">
        <v>16560</v>
      </c>
      <c r="S177" t="s">
        <v>36</v>
      </c>
    </row>
    <row r="178" spans="1:19" x14ac:dyDescent="0.3">
      <c r="A178" t="s">
        <v>951</v>
      </c>
      <c r="B178" t="s">
        <v>17</v>
      </c>
      <c r="C178" t="s">
        <v>128</v>
      </c>
      <c r="D178" t="s">
        <v>952</v>
      </c>
      <c r="E178" t="s">
        <v>953</v>
      </c>
      <c r="F178" t="s">
        <v>954</v>
      </c>
      <c r="G178">
        <v>458961306609</v>
      </c>
      <c r="H178" s="8" t="str">
        <f t="shared" si="4"/>
        <v>2005</v>
      </c>
      <c r="I178" s="1">
        <v>38551</v>
      </c>
      <c r="J178" t="s">
        <v>52</v>
      </c>
      <c r="K178" s="3" t="str">
        <f t="shared" si="5"/>
        <v>2022</v>
      </c>
      <c r="L178" s="1">
        <v>44857</v>
      </c>
      <c r="M178" s="2" t="str" cm="1">
        <f t="array" ref="M178">_xlfn.IFS(
N178&lt;500,"Very Low",
N178&lt;1500,"Low",
N178&lt;3000,"Medium",
N178&lt;4000,"High",
TRUE,"Very High"
)</f>
        <v>Low</v>
      </c>
      <c r="N178">
        <v>934</v>
      </c>
      <c r="O178" t="s">
        <v>955</v>
      </c>
      <c r="P178" t="s">
        <v>544</v>
      </c>
      <c r="Q178" t="s">
        <v>337</v>
      </c>
      <c r="R178">
        <v>388774</v>
      </c>
      <c r="S178" t="s">
        <v>26</v>
      </c>
    </row>
    <row r="179" spans="1:19" x14ac:dyDescent="0.3">
      <c r="A179" t="s">
        <v>956</v>
      </c>
      <c r="B179" t="s">
        <v>83</v>
      </c>
      <c r="C179" t="s">
        <v>162</v>
      </c>
      <c r="D179" t="s">
        <v>957</v>
      </c>
      <c r="E179" t="s">
        <v>958</v>
      </c>
      <c r="F179" t="s">
        <v>959</v>
      </c>
      <c r="G179">
        <v>823571149526</v>
      </c>
      <c r="H179" s="8" t="str">
        <f t="shared" si="4"/>
        <v>1953</v>
      </c>
      <c r="I179" s="1">
        <v>19440</v>
      </c>
      <c r="J179" t="s">
        <v>22</v>
      </c>
      <c r="K179" s="3" t="str">
        <f t="shared" si="5"/>
        <v>2025</v>
      </c>
      <c r="L179" s="1">
        <v>45851</v>
      </c>
      <c r="M179" s="2" t="str" cm="1">
        <f t="array" ref="M179">_xlfn.IFS(
N179&lt;500,"Very Low",
N179&lt;1500,"Low",
N179&lt;3000,"Medium",
N179&lt;4000,"High",
TRUE,"Very High"
)</f>
        <v>Medium</v>
      </c>
      <c r="N179">
        <v>1704</v>
      </c>
      <c r="O179" t="s">
        <v>960</v>
      </c>
      <c r="P179" t="s">
        <v>174</v>
      </c>
      <c r="Q179" t="s">
        <v>73</v>
      </c>
      <c r="R179">
        <v>75703</v>
      </c>
      <c r="S179" t="s">
        <v>36</v>
      </c>
    </row>
    <row r="180" spans="1:19" x14ac:dyDescent="0.3">
      <c r="A180" t="s">
        <v>961</v>
      </c>
      <c r="B180" t="s">
        <v>56</v>
      </c>
      <c r="C180" t="s">
        <v>128</v>
      </c>
      <c r="D180" t="s">
        <v>962</v>
      </c>
      <c r="E180" t="s">
        <v>963</v>
      </c>
      <c r="F180" t="s">
        <v>964</v>
      </c>
      <c r="G180">
        <v>718105796341</v>
      </c>
      <c r="H180" s="8" t="str">
        <f t="shared" si="4"/>
        <v>1982</v>
      </c>
      <c r="I180" s="1">
        <v>29999</v>
      </c>
      <c r="J180" t="s">
        <v>61</v>
      </c>
      <c r="K180" s="3" t="str">
        <f t="shared" si="5"/>
        <v>2020</v>
      </c>
      <c r="L180" s="1">
        <v>43892</v>
      </c>
      <c r="M180" s="2" t="str" cm="1">
        <f t="array" ref="M180">_xlfn.IFS(
N180&lt;500,"Very Low",
N180&lt;1500,"Low",
N180&lt;3000,"Medium",
N180&lt;4000,"High",
TRUE,"Very High"
)</f>
        <v>Low</v>
      </c>
      <c r="N180">
        <v>959</v>
      </c>
      <c r="O180" t="s">
        <v>965</v>
      </c>
      <c r="P180" t="s">
        <v>302</v>
      </c>
      <c r="Q180" t="s">
        <v>337</v>
      </c>
      <c r="R180">
        <v>429116</v>
      </c>
      <c r="S180" t="s">
        <v>26</v>
      </c>
    </row>
    <row r="181" spans="1:19" x14ac:dyDescent="0.3">
      <c r="A181" t="s">
        <v>966</v>
      </c>
      <c r="B181" t="s">
        <v>47</v>
      </c>
      <c r="C181" t="s">
        <v>84</v>
      </c>
      <c r="D181" t="s">
        <v>967</v>
      </c>
      <c r="E181" t="s">
        <v>968</v>
      </c>
      <c r="F181" t="s">
        <v>969</v>
      </c>
      <c r="G181">
        <v>804104816844</v>
      </c>
      <c r="H181" s="8" t="str">
        <f t="shared" si="4"/>
        <v>1988</v>
      </c>
      <c r="I181" s="1">
        <v>32458</v>
      </c>
      <c r="J181" t="s">
        <v>22</v>
      </c>
      <c r="K181" s="3" t="str">
        <f t="shared" si="5"/>
        <v>2019</v>
      </c>
      <c r="L181" s="1">
        <v>43775</v>
      </c>
      <c r="M181" s="2" t="str" cm="1">
        <f t="array" ref="M181">_xlfn.IFS(
N181&lt;500,"Very Low",
N181&lt;1500,"Low",
N181&lt;3000,"Medium",
N181&lt;4000,"High",
TRUE,"Very High"
)</f>
        <v>Low</v>
      </c>
      <c r="N181">
        <v>730</v>
      </c>
      <c r="O181" t="s">
        <v>970</v>
      </c>
      <c r="P181" t="s">
        <v>544</v>
      </c>
      <c r="Q181" t="s">
        <v>112</v>
      </c>
      <c r="R181">
        <v>175210</v>
      </c>
      <c r="S181" t="s">
        <v>26</v>
      </c>
    </row>
    <row r="182" spans="1:19" x14ac:dyDescent="0.3">
      <c r="A182" t="s">
        <v>971</v>
      </c>
      <c r="B182" t="s">
        <v>106</v>
      </c>
      <c r="C182" t="s">
        <v>67</v>
      </c>
      <c r="D182" t="s">
        <v>972</v>
      </c>
      <c r="E182" t="s">
        <v>973</v>
      </c>
      <c r="F182" t="s">
        <v>974</v>
      </c>
      <c r="G182">
        <v>567245625730</v>
      </c>
      <c r="H182" s="8" t="str">
        <f t="shared" si="4"/>
        <v>1996</v>
      </c>
      <c r="I182" s="1">
        <v>35306</v>
      </c>
      <c r="J182" t="s">
        <v>61</v>
      </c>
      <c r="K182" s="3" t="str">
        <f t="shared" si="5"/>
        <v>2021</v>
      </c>
      <c r="L182" s="1">
        <v>44204</v>
      </c>
      <c r="M182" s="2" t="str" cm="1">
        <f t="array" ref="M182">_xlfn.IFS(
N182&lt;500,"Very Low",
N182&lt;1500,"Low",
N182&lt;3000,"Medium",
N182&lt;4000,"High",
TRUE,"Very High"
)</f>
        <v>Medium</v>
      </c>
      <c r="N182">
        <v>2056</v>
      </c>
      <c r="O182" t="s">
        <v>975</v>
      </c>
      <c r="P182" t="s">
        <v>417</v>
      </c>
      <c r="Q182" t="s">
        <v>337</v>
      </c>
      <c r="R182">
        <v>974081</v>
      </c>
      <c r="S182" t="s">
        <v>26</v>
      </c>
    </row>
    <row r="183" spans="1:19" x14ac:dyDescent="0.3">
      <c r="A183" t="s">
        <v>976</v>
      </c>
      <c r="B183" t="s">
        <v>28</v>
      </c>
      <c r="C183" t="s">
        <v>183</v>
      </c>
      <c r="D183" t="s">
        <v>977</v>
      </c>
      <c r="E183" t="s">
        <v>978</v>
      </c>
      <c r="F183" t="s">
        <v>979</v>
      </c>
      <c r="G183">
        <v>840826356258</v>
      </c>
      <c r="H183" s="8" t="str">
        <f t="shared" si="4"/>
        <v>1965</v>
      </c>
      <c r="I183" s="1">
        <v>23873</v>
      </c>
      <c r="J183" t="s">
        <v>61</v>
      </c>
      <c r="K183" s="3" t="str">
        <f t="shared" si="5"/>
        <v>2021</v>
      </c>
      <c r="L183" s="1">
        <v>44509</v>
      </c>
      <c r="M183" s="2" t="str" cm="1">
        <f t="array" ref="M183">_xlfn.IFS(
N183&lt;500,"Very Low",
N183&lt;1500,"Low",
N183&lt;3000,"Medium",
N183&lt;4000,"High",
TRUE,"Very High"
)</f>
        <v>Medium</v>
      </c>
      <c r="N183">
        <v>2812</v>
      </c>
      <c r="O183" t="s">
        <v>980</v>
      </c>
      <c r="P183" t="s">
        <v>211</v>
      </c>
      <c r="Q183" t="s">
        <v>45</v>
      </c>
      <c r="R183">
        <v>88441</v>
      </c>
      <c r="S183" t="s">
        <v>36</v>
      </c>
    </row>
    <row r="184" spans="1:19" x14ac:dyDescent="0.3">
      <c r="A184" t="s">
        <v>981</v>
      </c>
      <c r="B184" t="s">
        <v>402</v>
      </c>
      <c r="C184" t="s">
        <v>67</v>
      </c>
      <c r="D184" t="s">
        <v>867</v>
      </c>
      <c r="E184" t="s">
        <v>982</v>
      </c>
      <c r="F184" t="s">
        <v>983</v>
      </c>
      <c r="G184">
        <v>863534673993</v>
      </c>
      <c r="H184" s="8" t="str">
        <f t="shared" si="4"/>
        <v>1966</v>
      </c>
      <c r="I184" s="1">
        <v>24400</v>
      </c>
      <c r="J184" t="s">
        <v>22</v>
      </c>
      <c r="K184" s="3" t="str">
        <f t="shared" si="5"/>
        <v>2020</v>
      </c>
      <c r="L184" s="1">
        <v>44008</v>
      </c>
      <c r="M184" s="2" t="str" cm="1">
        <f t="array" ref="M184">_xlfn.IFS(
N184&lt;500,"Very Low",
N184&lt;1500,"Low",
N184&lt;3000,"Medium",
N184&lt;4000,"High",
TRUE,"Very High"
)</f>
        <v>Very High</v>
      </c>
      <c r="N184">
        <v>4840</v>
      </c>
      <c r="O184" t="s">
        <v>984</v>
      </c>
      <c r="P184" t="s">
        <v>417</v>
      </c>
      <c r="Q184" t="s">
        <v>147</v>
      </c>
      <c r="R184">
        <v>923260</v>
      </c>
      <c r="S184" t="s">
        <v>26</v>
      </c>
    </row>
    <row r="185" spans="1:19" x14ac:dyDescent="0.3">
      <c r="A185" t="s">
        <v>985</v>
      </c>
      <c r="B185" t="s">
        <v>342</v>
      </c>
      <c r="C185" t="s">
        <v>57</v>
      </c>
      <c r="D185" t="s">
        <v>397</v>
      </c>
      <c r="E185" t="s">
        <v>986</v>
      </c>
      <c r="F185" t="s">
        <v>987</v>
      </c>
      <c r="G185">
        <v>909124988621</v>
      </c>
      <c r="H185" s="8" t="str">
        <f t="shared" si="4"/>
        <v>2001</v>
      </c>
      <c r="I185" s="1">
        <v>37233</v>
      </c>
      <c r="J185" t="s">
        <v>22</v>
      </c>
      <c r="K185" s="3" t="str">
        <f t="shared" si="5"/>
        <v>2020</v>
      </c>
      <c r="L185" s="1">
        <v>43857</v>
      </c>
      <c r="M185" s="2" t="str" cm="1">
        <f t="array" ref="M185">_xlfn.IFS(
N185&lt;500,"Very Low",
N185&lt;1500,"Low",
N185&lt;3000,"Medium",
N185&lt;4000,"High",
TRUE,"Very High"
)</f>
        <v>High</v>
      </c>
      <c r="N185">
        <v>3941</v>
      </c>
      <c r="O185" t="s">
        <v>988</v>
      </c>
      <c r="P185" t="s">
        <v>24</v>
      </c>
      <c r="Q185" t="s">
        <v>337</v>
      </c>
      <c r="R185">
        <v>939675</v>
      </c>
      <c r="S185" t="s">
        <v>26</v>
      </c>
    </row>
    <row r="186" spans="1:19" x14ac:dyDescent="0.3">
      <c r="A186" t="s">
        <v>989</v>
      </c>
      <c r="B186" t="s">
        <v>127</v>
      </c>
      <c r="C186" t="s">
        <v>67</v>
      </c>
      <c r="D186" t="s">
        <v>990</v>
      </c>
      <c r="E186" t="s">
        <v>991</v>
      </c>
      <c r="F186" t="s">
        <v>992</v>
      </c>
      <c r="G186">
        <v>680626116811</v>
      </c>
      <c r="H186" s="8" t="str">
        <f t="shared" si="4"/>
        <v>1952</v>
      </c>
      <c r="I186" s="1">
        <v>19043</v>
      </c>
      <c r="J186" t="s">
        <v>22</v>
      </c>
      <c r="K186" s="3" t="str">
        <f t="shared" si="5"/>
        <v>2021</v>
      </c>
      <c r="L186" s="1">
        <v>44255</v>
      </c>
      <c r="M186" s="2" t="str" cm="1">
        <f t="array" ref="M186">_xlfn.IFS(
N186&lt;500,"Very Low",
N186&lt;1500,"Low",
N186&lt;3000,"Medium",
N186&lt;4000,"High",
TRUE,"Very High"
)</f>
        <v>High</v>
      </c>
      <c r="N186">
        <v>3212</v>
      </c>
      <c r="O186" t="s">
        <v>993</v>
      </c>
      <c r="P186" t="s">
        <v>34</v>
      </c>
      <c r="Q186" t="s">
        <v>167</v>
      </c>
      <c r="R186">
        <v>49613</v>
      </c>
      <c r="S186" t="s">
        <v>36</v>
      </c>
    </row>
    <row r="187" spans="1:19" x14ac:dyDescent="0.3">
      <c r="A187" t="s">
        <v>994</v>
      </c>
      <c r="B187" t="s">
        <v>489</v>
      </c>
      <c r="C187" t="s">
        <v>48</v>
      </c>
      <c r="D187" t="s">
        <v>605</v>
      </c>
      <c r="E187" t="s">
        <v>995</v>
      </c>
      <c r="F187" t="s">
        <v>996</v>
      </c>
      <c r="G187">
        <v>955951004161</v>
      </c>
      <c r="H187" s="8" t="str">
        <f t="shared" si="4"/>
        <v>1961</v>
      </c>
      <c r="I187" s="1">
        <v>22531</v>
      </c>
      <c r="J187" t="s">
        <v>52</v>
      </c>
      <c r="K187" s="3" t="str">
        <f t="shared" si="5"/>
        <v>2022</v>
      </c>
      <c r="L187" s="1">
        <v>44652</v>
      </c>
      <c r="M187" s="2" t="str" cm="1">
        <f t="array" ref="M187">_xlfn.IFS(
N187&lt;500,"Very Low",
N187&lt;1500,"Low",
N187&lt;3000,"Medium",
N187&lt;4000,"High",
TRUE,"Very High"
)</f>
        <v>Very Low</v>
      </c>
      <c r="N187">
        <v>216</v>
      </c>
      <c r="O187" t="s">
        <v>997</v>
      </c>
      <c r="P187" t="s">
        <v>80</v>
      </c>
      <c r="Q187" t="s">
        <v>112</v>
      </c>
      <c r="R187">
        <v>988491</v>
      </c>
      <c r="S187" t="s">
        <v>26</v>
      </c>
    </row>
    <row r="188" spans="1:19" x14ac:dyDescent="0.3">
      <c r="A188" t="s">
        <v>998</v>
      </c>
      <c r="B188" t="s">
        <v>38</v>
      </c>
      <c r="C188" t="s">
        <v>39</v>
      </c>
      <c r="D188" t="s">
        <v>40</v>
      </c>
      <c r="E188" t="s">
        <v>999</v>
      </c>
      <c r="F188" t="s">
        <v>1000</v>
      </c>
      <c r="G188">
        <v>595231247144</v>
      </c>
      <c r="H188" s="8" t="str">
        <f t="shared" si="4"/>
        <v>1955</v>
      </c>
      <c r="I188" s="1">
        <v>20360</v>
      </c>
      <c r="J188" t="s">
        <v>52</v>
      </c>
      <c r="K188" s="3" t="str">
        <f t="shared" si="5"/>
        <v>2018</v>
      </c>
      <c r="L188" s="1">
        <v>43285</v>
      </c>
      <c r="M188" s="2" t="str" cm="1">
        <f t="array" ref="M188">_xlfn.IFS(
N188&lt;500,"Very Low",
N188&lt;1500,"Low",
N188&lt;3000,"Medium",
N188&lt;4000,"High",
TRUE,"Very High"
)</f>
        <v>Very Low</v>
      </c>
      <c r="N188">
        <v>147</v>
      </c>
      <c r="O188" t="s">
        <v>1001</v>
      </c>
      <c r="P188" t="s">
        <v>432</v>
      </c>
      <c r="Q188" t="s">
        <v>167</v>
      </c>
      <c r="R188">
        <v>88958</v>
      </c>
      <c r="S188" t="s">
        <v>36</v>
      </c>
    </row>
    <row r="189" spans="1:19" x14ac:dyDescent="0.3">
      <c r="A189" t="s">
        <v>1002</v>
      </c>
      <c r="B189" t="s">
        <v>91</v>
      </c>
      <c r="C189" t="s">
        <v>128</v>
      </c>
      <c r="D189" t="s">
        <v>759</v>
      </c>
      <c r="E189" t="s">
        <v>1003</v>
      </c>
      <c r="F189" t="s">
        <v>1004</v>
      </c>
      <c r="G189">
        <v>108059161761</v>
      </c>
      <c r="H189" s="8" t="str">
        <f t="shared" si="4"/>
        <v>1969</v>
      </c>
      <c r="I189" s="1">
        <v>25352</v>
      </c>
      <c r="J189" t="s">
        <v>22</v>
      </c>
      <c r="K189" s="3" t="str">
        <f t="shared" si="5"/>
        <v>2024</v>
      </c>
      <c r="L189" s="1">
        <v>45475</v>
      </c>
      <c r="M189" s="2" t="str" cm="1">
        <f t="array" ref="M189">_xlfn.IFS(
N189&lt;500,"Very Low",
N189&lt;1500,"Low",
N189&lt;3000,"Medium",
N189&lt;4000,"High",
TRUE,"Very High"
)</f>
        <v>Low</v>
      </c>
      <c r="N189">
        <v>1200</v>
      </c>
      <c r="O189" t="s">
        <v>1005</v>
      </c>
      <c r="P189" t="s">
        <v>80</v>
      </c>
      <c r="Q189" t="s">
        <v>25</v>
      </c>
      <c r="R189">
        <v>618623</v>
      </c>
      <c r="S189" t="s">
        <v>26</v>
      </c>
    </row>
    <row r="190" spans="1:19" x14ac:dyDescent="0.3">
      <c r="A190" t="s">
        <v>1006</v>
      </c>
      <c r="B190" t="s">
        <v>342</v>
      </c>
      <c r="C190" t="s">
        <v>136</v>
      </c>
      <c r="D190" t="s">
        <v>343</v>
      </c>
      <c r="E190" t="s">
        <v>1007</v>
      </c>
      <c r="F190" t="s">
        <v>1008</v>
      </c>
      <c r="G190">
        <v>849228758491</v>
      </c>
      <c r="H190" s="8" t="str">
        <f t="shared" si="4"/>
        <v>1946</v>
      </c>
      <c r="I190" s="1">
        <v>17081</v>
      </c>
      <c r="J190" t="s">
        <v>22</v>
      </c>
      <c r="K190" s="3" t="str">
        <f t="shared" si="5"/>
        <v>2022</v>
      </c>
      <c r="L190" s="1">
        <v>44876</v>
      </c>
      <c r="M190" s="2" t="str" cm="1">
        <f t="array" ref="M190">_xlfn.IFS(
N190&lt;500,"Very Low",
N190&lt;1500,"Low",
N190&lt;3000,"Medium",
N190&lt;4000,"High",
TRUE,"Very High"
)</f>
        <v>Very High</v>
      </c>
      <c r="N190">
        <v>4810</v>
      </c>
      <c r="O190" t="s">
        <v>1009</v>
      </c>
      <c r="P190" t="s">
        <v>111</v>
      </c>
      <c r="Q190" t="s">
        <v>337</v>
      </c>
      <c r="R190">
        <v>762245</v>
      </c>
      <c r="S190" t="s">
        <v>26</v>
      </c>
    </row>
    <row r="191" spans="1:19" x14ac:dyDescent="0.3">
      <c r="A191" t="s">
        <v>1010</v>
      </c>
      <c r="B191" t="s">
        <v>169</v>
      </c>
      <c r="C191" t="s">
        <v>92</v>
      </c>
      <c r="D191" t="s">
        <v>1011</v>
      </c>
      <c r="E191" t="s">
        <v>1012</v>
      </c>
      <c r="F191" t="s">
        <v>1013</v>
      </c>
      <c r="G191">
        <v>953897491445</v>
      </c>
      <c r="H191" s="8" t="str">
        <f t="shared" si="4"/>
        <v>1982</v>
      </c>
      <c r="I191" s="1">
        <v>30070</v>
      </c>
      <c r="J191" t="s">
        <v>52</v>
      </c>
      <c r="K191" s="3" t="str">
        <f t="shared" si="5"/>
        <v>2025</v>
      </c>
      <c r="L191" s="1">
        <v>45747</v>
      </c>
      <c r="M191" s="2" t="str" cm="1">
        <f t="array" ref="M191">_xlfn.IFS(
N191&lt;500,"Very Low",
N191&lt;1500,"Low",
N191&lt;3000,"Medium",
N191&lt;4000,"High",
TRUE,"Very High"
)</f>
        <v>Low</v>
      </c>
      <c r="N191">
        <v>1275</v>
      </c>
      <c r="O191" t="s">
        <v>1014</v>
      </c>
      <c r="P191" t="s">
        <v>44</v>
      </c>
      <c r="Q191" t="s">
        <v>167</v>
      </c>
      <c r="R191">
        <v>97720</v>
      </c>
      <c r="S191" t="s">
        <v>36</v>
      </c>
    </row>
    <row r="192" spans="1:19" x14ac:dyDescent="0.3">
      <c r="A192" t="s">
        <v>1015</v>
      </c>
      <c r="B192" t="s">
        <v>219</v>
      </c>
      <c r="C192" t="s">
        <v>287</v>
      </c>
      <c r="D192" t="s">
        <v>459</v>
      </c>
      <c r="E192" t="s">
        <v>1016</v>
      </c>
      <c r="F192" t="s">
        <v>1017</v>
      </c>
      <c r="G192">
        <v>467902669685</v>
      </c>
      <c r="H192" s="8" t="str">
        <f t="shared" si="4"/>
        <v>2005</v>
      </c>
      <c r="I192" s="1">
        <v>38414</v>
      </c>
      <c r="J192" t="s">
        <v>52</v>
      </c>
      <c r="K192" s="3" t="str">
        <f t="shared" si="5"/>
        <v>2025</v>
      </c>
      <c r="L192" s="1">
        <v>45959</v>
      </c>
      <c r="M192" s="2" t="str" cm="1">
        <f t="array" ref="M192">_xlfn.IFS(
N192&lt;500,"Very Low",
N192&lt;1500,"Low",
N192&lt;3000,"Medium",
N192&lt;4000,"High",
TRUE,"Very High"
)</f>
        <v>Low</v>
      </c>
      <c r="N192">
        <v>1474</v>
      </c>
      <c r="O192" t="s">
        <v>1018</v>
      </c>
      <c r="P192" t="s">
        <v>111</v>
      </c>
      <c r="Q192" t="s">
        <v>188</v>
      </c>
      <c r="R192">
        <v>952219</v>
      </c>
      <c r="S192" t="s">
        <v>26</v>
      </c>
    </row>
    <row r="193" spans="1:19" x14ac:dyDescent="0.3">
      <c r="A193" t="s">
        <v>1019</v>
      </c>
      <c r="B193" t="s">
        <v>142</v>
      </c>
      <c r="C193" t="s">
        <v>115</v>
      </c>
      <c r="D193" t="s">
        <v>1020</v>
      </c>
      <c r="E193" t="s">
        <v>1021</v>
      </c>
      <c r="F193" t="s">
        <v>1022</v>
      </c>
      <c r="G193">
        <v>828851468076</v>
      </c>
      <c r="H193" s="8" t="str">
        <f t="shared" si="4"/>
        <v>1971</v>
      </c>
      <c r="I193" s="1">
        <v>26181</v>
      </c>
      <c r="J193" t="s">
        <v>61</v>
      </c>
      <c r="K193" s="3" t="str">
        <f t="shared" si="5"/>
        <v>2018</v>
      </c>
      <c r="L193" s="1">
        <v>43317</v>
      </c>
      <c r="M193" s="2" t="str" cm="1">
        <f t="array" ref="M193">_xlfn.IFS(
N193&lt;500,"Very Low",
N193&lt;1500,"Low",
N193&lt;3000,"Medium",
N193&lt;4000,"High",
TRUE,"Very High"
)</f>
        <v>Very Low</v>
      </c>
      <c r="N193">
        <v>256</v>
      </c>
      <c r="O193" t="s">
        <v>1023</v>
      </c>
      <c r="P193" t="s">
        <v>133</v>
      </c>
      <c r="Q193" t="s">
        <v>167</v>
      </c>
      <c r="R193">
        <v>15023</v>
      </c>
      <c r="S193" t="s">
        <v>36</v>
      </c>
    </row>
    <row r="194" spans="1:19" x14ac:dyDescent="0.3">
      <c r="A194" t="s">
        <v>1024</v>
      </c>
      <c r="B194" t="s">
        <v>169</v>
      </c>
      <c r="C194" t="s">
        <v>75</v>
      </c>
      <c r="D194" t="s">
        <v>1025</v>
      </c>
      <c r="E194" t="s">
        <v>1026</v>
      </c>
      <c r="F194" t="s">
        <v>1027</v>
      </c>
      <c r="G194">
        <v>499157055290</v>
      </c>
      <c r="H194" s="8" t="str">
        <f t="shared" si="4"/>
        <v>1961</v>
      </c>
      <c r="I194" s="1">
        <v>22455</v>
      </c>
      <c r="J194" t="s">
        <v>52</v>
      </c>
      <c r="K194" s="3" t="str">
        <f t="shared" si="5"/>
        <v>2025</v>
      </c>
      <c r="L194" s="1">
        <v>45854</v>
      </c>
      <c r="M194" s="2" t="str" cm="1">
        <f t="array" ref="M194">_xlfn.IFS(
N194&lt;500,"Very Low",
N194&lt;1500,"Low",
N194&lt;3000,"Medium",
N194&lt;4000,"High",
TRUE,"Very High"
)</f>
        <v>Very High</v>
      </c>
      <c r="N194">
        <v>4160</v>
      </c>
      <c r="O194" t="s">
        <v>1028</v>
      </c>
      <c r="P194" t="s">
        <v>417</v>
      </c>
      <c r="Q194" t="s">
        <v>188</v>
      </c>
      <c r="R194">
        <v>153404</v>
      </c>
      <c r="S194" t="s">
        <v>26</v>
      </c>
    </row>
    <row r="195" spans="1:19" x14ac:dyDescent="0.3">
      <c r="A195" t="s">
        <v>1029</v>
      </c>
      <c r="B195" t="s">
        <v>169</v>
      </c>
      <c r="C195" t="s">
        <v>84</v>
      </c>
      <c r="D195" t="s">
        <v>1030</v>
      </c>
      <c r="E195" t="s">
        <v>1031</v>
      </c>
      <c r="F195" t="s">
        <v>1032</v>
      </c>
      <c r="G195">
        <v>195043103514</v>
      </c>
      <c r="H195" s="8" t="str">
        <f t="shared" ref="H195:H201" si="6">TEXT(I195,"YYYY")</f>
        <v>1988</v>
      </c>
      <c r="I195" s="1">
        <v>32451</v>
      </c>
      <c r="J195" t="s">
        <v>22</v>
      </c>
      <c r="K195" s="3" t="str">
        <f t="shared" ref="K195:K201" si="7">TEXT(L195, "YYYY")</f>
        <v>2024</v>
      </c>
      <c r="L195" s="1">
        <v>45452</v>
      </c>
      <c r="M195" s="2" t="str" cm="1">
        <f t="array" ref="M195">_xlfn.IFS(
N195&lt;500,"Very Low",
N195&lt;1500,"Low",
N195&lt;3000,"Medium",
N195&lt;4000,"High",
TRUE,"Very High"
)</f>
        <v>Medium</v>
      </c>
      <c r="N195">
        <v>1643</v>
      </c>
      <c r="O195" t="s">
        <v>1033</v>
      </c>
      <c r="P195" t="s">
        <v>63</v>
      </c>
      <c r="Q195" t="s">
        <v>337</v>
      </c>
      <c r="R195">
        <v>860723</v>
      </c>
      <c r="S195" t="s">
        <v>26</v>
      </c>
    </row>
    <row r="196" spans="1:19" x14ac:dyDescent="0.3">
      <c r="A196" t="s">
        <v>1034</v>
      </c>
      <c r="B196" t="s">
        <v>83</v>
      </c>
      <c r="C196" t="s">
        <v>190</v>
      </c>
      <c r="D196" t="s">
        <v>1035</v>
      </c>
      <c r="E196" t="s">
        <v>1036</v>
      </c>
      <c r="F196" t="s">
        <v>1037</v>
      </c>
      <c r="G196">
        <v>922258837228</v>
      </c>
      <c r="H196" s="8" t="str">
        <f t="shared" si="6"/>
        <v>1955</v>
      </c>
      <c r="I196" s="1">
        <v>20299</v>
      </c>
      <c r="J196" t="s">
        <v>52</v>
      </c>
      <c r="K196" s="3" t="str">
        <f t="shared" si="7"/>
        <v>2023</v>
      </c>
      <c r="L196" s="1">
        <v>45178</v>
      </c>
      <c r="M196" s="2" t="str" cm="1">
        <f t="array" ref="M196">_xlfn.IFS(
N196&lt;500,"Very Low",
N196&lt;1500,"Low",
N196&lt;3000,"Medium",
N196&lt;4000,"High",
TRUE,"Very High"
)</f>
        <v>Medium</v>
      </c>
      <c r="N196">
        <v>2174</v>
      </c>
      <c r="O196" t="s">
        <v>1038</v>
      </c>
      <c r="P196" t="s">
        <v>54</v>
      </c>
      <c r="Q196" t="s">
        <v>112</v>
      </c>
      <c r="R196">
        <v>297550</v>
      </c>
      <c r="S196" t="s">
        <v>26</v>
      </c>
    </row>
    <row r="197" spans="1:19" x14ac:dyDescent="0.3">
      <c r="A197" t="s">
        <v>1039</v>
      </c>
      <c r="B197" t="s">
        <v>114</v>
      </c>
      <c r="C197" t="s">
        <v>100</v>
      </c>
      <c r="D197" t="s">
        <v>1040</v>
      </c>
      <c r="E197" t="s">
        <v>1041</v>
      </c>
      <c r="F197" t="s">
        <v>1042</v>
      </c>
      <c r="G197">
        <v>261272379972</v>
      </c>
      <c r="H197" s="8" t="str">
        <f t="shared" si="6"/>
        <v>1959</v>
      </c>
      <c r="I197" s="1">
        <v>21691</v>
      </c>
      <c r="J197" t="s">
        <v>22</v>
      </c>
      <c r="K197" s="3" t="str">
        <f t="shared" si="7"/>
        <v>2023</v>
      </c>
      <c r="L197" s="1">
        <v>45111</v>
      </c>
      <c r="M197" s="2" t="str" cm="1">
        <f t="array" ref="M197">_xlfn.IFS(
N197&lt;500,"Very Low",
N197&lt;1500,"Low",
N197&lt;3000,"Medium",
N197&lt;4000,"High",
TRUE,"Very High"
)</f>
        <v>Medium</v>
      </c>
      <c r="N197">
        <v>1635</v>
      </c>
      <c r="O197" t="s">
        <v>1043</v>
      </c>
      <c r="P197" t="s">
        <v>112</v>
      </c>
      <c r="Q197" t="s">
        <v>81</v>
      </c>
      <c r="R197">
        <v>620665</v>
      </c>
      <c r="S197" t="s">
        <v>26</v>
      </c>
    </row>
    <row r="198" spans="1:19" x14ac:dyDescent="0.3">
      <c r="A198" t="s">
        <v>1044</v>
      </c>
      <c r="B198" t="s">
        <v>270</v>
      </c>
      <c r="C198" t="s">
        <v>253</v>
      </c>
      <c r="D198" t="s">
        <v>1045</v>
      </c>
      <c r="E198" t="s">
        <v>1046</v>
      </c>
      <c r="F198" t="s">
        <v>1047</v>
      </c>
      <c r="G198">
        <v>692915897895</v>
      </c>
      <c r="H198" s="8" t="str">
        <f t="shared" si="6"/>
        <v>1991</v>
      </c>
      <c r="I198" s="1">
        <v>33596</v>
      </c>
      <c r="J198" t="s">
        <v>61</v>
      </c>
      <c r="K198" s="3" t="str">
        <f t="shared" si="7"/>
        <v>2025</v>
      </c>
      <c r="L198" s="1">
        <v>46000</v>
      </c>
      <c r="M198" s="2" t="str" cm="1">
        <f t="array" ref="M198">_xlfn.IFS(
N198&lt;500,"Very Low",
N198&lt;1500,"Low",
N198&lt;3000,"Medium",
N198&lt;4000,"High",
TRUE,"Very High"
)</f>
        <v>High</v>
      </c>
      <c r="N198">
        <v>3321</v>
      </c>
      <c r="O198" t="s">
        <v>1048</v>
      </c>
      <c r="P198" t="s">
        <v>54</v>
      </c>
      <c r="Q198" t="s">
        <v>205</v>
      </c>
      <c r="R198">
        <v>762197</v>
      </c>
      <c r="S198" t="s">
        <v>26</v>
      </c>
    </row>
    <row r="199" spans="1:19" x14ac:dyDescent="0.3">
      <c r="A199" t="s">
        <v>1049</v>
      </c>
      <c r="B199" t="s">
        <v>38</v>
      </c>
      <c r="C199" t="s">
        <v>183</v>
      </c>
      <c r="D199" t="s">
        <v>474</v>
      </c>
      <c r="E199" t="s">
        <v>1050</v>
      </c>
      <c r="F199" t="s">
        <v>1051</v>
      </c>
      <c r="G199">
        <v>721222438669</v>
      </c>
      <c r="H199" s="8" t="str">
        <f t="shared" si="6"/>
        <v>1987</v>
      </c>
      <c r="I199" s="1">
        <v>31836</v>
      </c>
      <c r="J199" t="s">
        <v>22</v>
      </c>
      <c r="K199" s="3" t="str">
        <f t="shared" si="7"/>
        <v>2024</v>
      </c>
      <c r="L199" s="1">
        <v>45618</v>
      </c>
      <c r="M199" s="2" t="str" cm="1">
        <f t="array" ref="M199">_xlfn.IFS(
N199&lt;500,"Very Low",
N199&lt;1500,"Low",
N199&lt;3000,"Medium",
N199&lt;4000,"High",
TRUE,"Very High"
)</f>
        <v>Low</v>
      </c>
      <c r="N199">
        <v>589</v>
      </c>
      <c r="O199" t="s">
        <v>1052</v>
      </c>
      <c r="P199" t="s">
        <v>111</v>
      </c>
      <c r="Q199" t="s">
        <v>97</v>
      </c>
      <c r="R199">
        <v>212487</v>
      </c>
      <c r="S199" t="s">
        <v>26</v>
      </c>
    </row>
    <row r="200" spans="1:19" x14ac:dyDescent="0.3">
      <c r="A200" t="s">
        <v>1053</v>
      </c>
      <c r="B200" t="s">
        <v>135</v>
      </c>
      <c r="C200" t="s">
        <v>29</v>
      </c>
      <c r="D200" t="s">
        <v>1054</v>
      </c>
      <c r="E200" t="s">
        <v>1055</v>
      </c>
      <c r="F200" t="s">
        <v>1056</v>
      </c>
      <c r="G200">
        <v>898082835494</v>
      </c>
      <c r="H200" s="8" t="str">
        <f t="shared" si="6"/>
        <v>1983</v>
      </c>
      <c r="I200" s="1">
        <v>30644</v>
      </c>
      <c r="J200" t="s">
        <v>52</v>
      </c>
      <c r="K200" s="3" t="str">
        <f t="shared" si="7"/>
        <v>2018</v>
      </c>
      <c r="L200" s="1">
        <v>43148</v>
      </c>
      <c r="M200" s="2" t="str" cm="1">
        <f t="array" ref="M200">_xlfn.IFS(
N200&lt;500,"Very Low",
N200&lt;1500,"Low",
N200&lt;3000,"Medium",
N200&lt;4000,"High",
TRUE,"Very High"
)</f>
        <v>Very High</v>
      </c>
      <c r="N200">
        <v>4861</v>
      </c>
      <c r="O200" t="s">
        <v>1057</v>
      </c>
      <c r="P200" t="s">
        <v>112</v>
      </c>
      <c r="Q200" t="s">
        <v>188</v>
      </c>
      <c r="R200">
        <v>658312</v>
      </c>
      <c r="S200" t="s">
        <v>26</v>
      </c>
    </row>
    <row r="201" spans="1:19" x14ac:dyDescent="0.3">
      <c r="A201" t="s">
        <v>1058</v>
      </c>
      <c r="B201" t="s">
        <v>142</v>
      </c>
      <c r="C201" t="s">
        <v>253</v>
      </c>
      <c r="D201" t="s">
        <v>1059</v>
      </c>
      <c r="E201" t="s">
        <v>1060</v>
      </c>
      <c r="F201" t="s">
        <v>1061</v>
      </c>
      <c r="G201">
        <v>660664604687</v>
      </c>
      <c r="H201" s="8" t="str">
        <f t="shared" si="6"/>
        <v>1980</v>
      </c>
      <c r="I201" s="1">
        <v>29573</v>
      </c>
      <c r="J201" t="s">
        <v>52</v>
      </c>
      <c r="K201" s="3" t="str">
        <f t="shared" si="7"/>
        <v>2019</v>
      </c>
      <c r="L201" s="1">
        <v>43608</v>
      </c>
      <c r="M201" s="2" t="str" cm="1">
        <f t="array" ref="M201">_xlfn.IFS(
N201&lt;500,"Very Low",
N201&lt;1500,"Low",
N201&lt;3000,"Medium",
N201&lt;4000,"High",
TRUE,"Very High"
)</f>
        <v>Very High</v>
      </c>
      <c r="N201">
        <v>4362</v>
      </c>
      <c r="O201" t="s">
        <v>1062</v>
      </c>
      <c r="P201" t="s">
        <v>167</v>
      </c>
      <c r="Q201" t="s">
        <v>35</v>
      </c>
      <c r="R201">
        <v>32845</v>
      </c>
      <c r="S201" t="s">
        <v>36</v>
      </c>
    </row>
  </sheetData>
  <dataConsolidate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workbookViewId="0">
      <selection sqref="A1:XFD1048576"/>
    </sheetView>
  </sheetViews>
  <sheetFormatPr defaultRowHeight="14.4" x14ac:dyDescent="0.3"/>
  <cols>
    <col min="1" max="1" width="9.6640625" bestFit="1" customWidth="1"/>
    <col min="2" max="2" width="12.77734375" customWidth="1"/>
    <col min="3" max="3" width="9.5546875" customWidth="1"/>
    <col min="4" max="4" width="10.21875" customWidth="1"/>
    <col min="5" max="5" width="8" bestFit="1" customWidth="1"/>
    <col min="6" max="6" width="14" customWidth="1"/>
    <col min="7" max="7" width="13.44140625" customWidth="1"/>
    <col min="8" max="8" width="18.109375" style="1" bestFit="1" customWidth="1"/>
    <col min="10" max="10" width="17.21875" customWidth="1"/>
    <col min="16" max="16" width="10.44140625" customWidth="1"/>
  </cols>
  <sheetData>
    <row r="1" spans="1:10" x14ac:dyDescent="0.3">
      <c r="A1" s="4" t="s">
        <v>1063</v>
      </c>
      <c r="B1" s="4" t="s">
        <v>0</v>
      </c>
      <c r="C1" s="4" t="s">
        <v>1064</v>
      </c>
      <c r="D1" s="4" t="s">
        <v>1065</v>
      </c>
      <c r="E1" s="4" t="s">
        <v>1066</v>
      </c>
      <c r="F1" s="4" t="s">
        <v>1067</v>
      </c>
      <c r="G1" s="4" t="s">
        <v>1591</v>
      </c>
      <c r="H1" s="6" t="s">
        <v>1068</v>
      </c>
      <c r="I1" s="4" t="s">
        <v>1069</v>
      </c>
      <c r="J1" s="4" t="s">
        <v>1070</v>
      </c>
    </row>
    <row r="2" spans="1:10" x14ac:dyDescent="0.3">
      <c r="A2" t="s">
        <v>1071</v>
      </c>
      <c r="B2" t="s">
        <v>528</v>
      </c>
      <c r="C2" t="s">
        <v>1072</v>
      </c>
      <c r="D2">
        <v>3</v>
      </c>
      <c r="E2">
        <v>829.43</v>
      </c>
      <c r="F2">
        <v>2488.29</v>
      </c>
      <c r="G2" t="str">
        <f>TEXT(H2,"mmmm")</f>
        <v>June</v>
      </c>
      <c r="H2" s="1">
        <v>44348</v>
      </c>
      <c r="I2" t="s">
        <v>1073</v>
      </c>
      <c r="J2" t="s">
        <v>1074</v>
      </c>
    </row>
    <row r="3" spans="1:10" x14ac:dyDescent="0.3">
      <c r="A3" t="s">
        <v>1075</v>
      </c>
      <c r="B3" t="s">
        <v>843</v>
      </c>
      <c r="C3" t="s">
        <v>1076</v>
      </c>
      <c r="D3">
        <v>5</v>
      </c>
      <c r="E3">
        <v>699.32</v>
      </c>
      <c r="F3">
        <v>3496.6</v>
      </c>
      <c r="G3" t="str">
        <f t="shared" ref="G3:G66" si="0">TEXT(H3,"mmmm")</f>
        <v>November</v>
      </c>
      <c r="H3" s="1">
        <v>43786</v>
      </c>
      <c r="I3" t="s">
        <v>1077</v>
      </c>
      <c r="J3" t="s">
        <v>1074</v>
      </c>
    </row>
    <row r="4" spans="1:10" x14ac:dyDescent="0.3">
      <c r="A4" t="s">
        <v>1078</v>
      </c>
      <c r="B4" t="s">
        <v>519</v>
      </c>
      <c r="C4" t="s">
        <v>1076</v>
      </c>
      <c r="D4">
        <v>3</v>
      </c>
      <c r="E4">
        <v>1060.98</v>
      </c>
      <c r="F4">
        <v>3182.94</v>
      </c>
      <c r="G4" t="str">
        <f t="shared" si="0"/>
        <v>February</v>
      </c>
      <c r="H4" s="1">
        <v>44237</v>
      </c>
      <c r="I4" t="s">
        <v>1073</v>
      </c>
      <c r="J4" t="s">
        <v>1079</v>
      </c>
    </row>
    <row r="5" spans="1:10" x14ac:dyDescent="0.3">
      <c r="A5" t="s">
        <v>1080</v>
      </c>
      <c r="B5" t="s">
        <v>189</v>
      </c>
      <c r="C5" t="s">
        <v>1081</v>
      </c>
      <c r="D5">
        <v>4</v>
      </c>
      <c r="E5">
        <v>232.44</v>
      </c>
      <c r="F5">
        <v>929.76</v>
      </c>
      <c r="G5" t="str">
        <f t="shared" si="0"/>
        <v>April</v>
      </c>
      <c r="H5" s="1">
        <v>45041</v>
      </c>
      <c r="I5" t="s">
        <v>1077</v>
      </c>
      <c r="J5" t="s">
        <v>1082</v>
      </c>
    </row>
    <row r="6" spans="1:10" x14ac:dyDescent="0.3">
      <c r="A6" t="s">
        <v>1083</v>
      </c>
      <c r="B6" t="s">
        <v>246</v>
      </c>
      <c r="C6" t="s">
        <v>5</v>
      </c>
      <c r="D6">
        <v>2</v>
      </c>
      <c r="E6">
        <v>1150.04</v>
      </c>
      <c r="F6">
        <v>2300.08</v>
      </c>
      <c r="G6" t="str">
        <f t="shared" si="0"/>
        <v>August</v>
      </c>
      <c r="H6" s="1">
        <v>44792</v>
      </c>
      <c r="I6" t="s">
        <v>1073</v>
      </c>
      <c r="J6" t="s">
        <v>1084</v>
      </c>
    </row>
    <row r="7" spans="1:10" x14ac:dyDescent="0.3">
      <c r="A7" t="s">
        <v>1085</v>
      </c>
      <c r="B7" t="s">
        <v>303</v>
      </c>
      <c r="C7" t="s">
        <v>1081</v>
      </c>
      <c r="D7">
        <v>2</v>
      </c>
      <c r="E7">
        <v>1781.62</v>
      </c>
      <c r="F7">
        <v>3563.24</v>
      </c>
      <c r="G7" t="str">
        <f t="shared" si="0"/>
        <v>July</v>
      </c>
      <c r="H7" s="1">
        <v>44025</v>
      </c>
      <c r="I7" t="s">
        <v>1073</v>
      </c>
      <c r="J7" t="s">
        <v>1084</v>
      </c>
    </row>
    <row r="8" spans="1:10" x14ac:dyDescent="0.3">
      <c r="A8" t="s">
        <v>1086</v>
      </c>
      <c r="B8" t="s">
        <v>407</v>
      </c>
      <c r="C8" t="s">
        <v>1076</v>
      </c>
      <c r="D8">
        <v>1</v>
      </c>
      <c r="E8">
        <v>1953.43</v>
      </c>
      <c r="F8">
        <v>1953.43</v>
      </c>
      <c r="G8" t="str">
        <f t="shared" si="0"/>
        <v>February</v>
      </c>
      <c r="H8" s="1">
        <v>44981</v>
      </c>
      <c r="I8" t="s">
        <v>1087</v>
      </c>
      <c r="J8" t="s">
        <v>1074</v>
      </c>
    </row>
    <row r="9" spans="1:10" x14ac:dyDescent="0.3">
      <c r="A9" t="s">
        <v>1088</v>
      </c>
      <c r="B9" t="s">
        <v>153</v>
      </c>
      <c r="C9" t="s">
        <v>1081</v>
      </c>
      <c r="D9">
        <v>1</v>
      </c>
      <c r="E9">
        <v>846.87</v>
      </c>
      <c r="F9">
        <v>846.87</v>
      </c>
      <c r="G9" t="str">
        <f t="shared" si="0"/>
        <v>October</v>
      </c>
      <c r="H9" s="1">
        <v>44487</v>
      </c>
      <c r="I9" t="s">
        <v>1089</v>
      </c>
      <c r="J9" t="s">
        <v>1074</v>
      </c>
    </row>
    <row r="10" spans="1:10" x14ac:dyDescent="0.3">
      <c r="A10" t="s">
        <v>1090</v>
      </c>
      <c r="B10" t="s">
        <v>308</v>
      </c>
      <c r="C10" t="s">
        <v>1091</v>
      </c>
      <c r="D10">
        <v>1</v>
      </c>
      <c r="E10">
        <v>871.57</v>
      </c>
      <c r="F10">
        <v>871.57</v>
      </c>
      <c r="G10" t="str">
        <f t="shared" si="0"/>
        <v>November</v>
      </c>
      <c r="H10" s="1">
        <v>45616</v>
      </c>
      <c r="I10" t="s">
        <v>1077</v>
      </c>
      <c r="J10" t="s">
        <v>1082</v>
      </c>
    </row>
    <row r="11" spans="1:10" x14ac:dyDescent="0.3">
      <c r="A11" t="s">
        <v>1092</v>
      </c>
      <c r="B11" t="s">
        <v>362</v>
      </c>
      <c r="C11" t="s">
        <v>1091</v>
      </c>
      <c r="D11">
        <v>3</v>
      </c>
      <c r="E11">
        <v>1207.06</v>
      </c>
      <c r="F11">
        <v>3621.18</v>
      </c>
      <c r="G11" t="str">
        <f t="shared" si="0"/>
        <v>January</v>
      </c>
      <c r="H11" s="1">
        <v>43858</v>
      </c>
      <c r="I11" t="s">
        <v>1073</v>
      </c>
      <c r="J11" t="s">
        <v>1093</v>
      </c>
    </row>
    <row r="12" spans="1:10" x14ac:dyDescent="0.3">
      <c r="A12" t="s">
        <v>1094</v>
      </c>
      <c r="B12" t="s">
        <v>554</v>
      </c>
      <c r="C12" t="s">
        <v>1091</v>
      </c>
      <c r="D12">
        <v>2</v>
      </c>
      <c r="E12">
        <v>1069.9000000000001</v>
      </c>
      <c r="F12">
        <v>2139.8000000000002</v>
      </c>
      <c r="G12" t="str">
        <f t="shared" si="0"/>
        <v>December</v>
      </c>
      <c r="H12" s="1">
        <v>45656</v>
      </c>
      <c r="I12" t="s">
        <v>1095</v>
      </c>
      <c r="J12" t="s">
        <v>1079</v>
      </c>
    </row>
    <row r="13" spans="1:10" x14ac:dyDescent="0.3">
      <c r="A13" t="s">
        <v>1096</v>
      </c>
      <c r="B13" t="s">
        <v>90</v>
      </c>
      <c r="C13" t="s">
        <v>1097</v>
      </c>
      <c r="D13">
        <v>3</v>
      </c>
      <c r="E13">
        <v>505.69</v>
      </c>
      <c r="F13">
        <v>1517.07</v>
      </c>
      <c r="G13" t="str">
        <f t="shared" si="0"/>
        <v>July</v>
      </c>
      <c r="H13" s="1">
        <v>45121</v>
      </c>
      <c r="I13" t="s">
        <v>1095</v>
      </c>
      <c r="J13" t="s">
        <v>1093</v>
      </c>
    </row>
    <row r="14" spans="1:10" x14ac:dyDescent="0.3">
      <c r="A14" t="s">
        <v>1098</v>
      </c>
      <c r="B14" t="s">
        <v>308</v>
      </c>
      <c r="C14" t="s">
        <v>1097</v>
      </c>
      <c r="D14">
        <v>2</v>
      </c>
      <c r="E14">
        <v>824.81</v>
      </c>
      <c r="F14">
        <v>1649.62</v>
      </c>
      <c r="G14" t="str">
        <f t="shared" si="0"/>
        <v>February</v>
      </c>
      <c r="H14" s="1">
        <v>43889</v>
      </c>
      <c r="I14" t="s">
        <v>1087</v>
      </c>
      <c r="J14" t="s">
        <v>1084</v>
      </c>
    </row>
    <row r="15" spans="1:10" x14ac:dyDescent="0.3">
      <c r="A15" t="s">
        <v>1099</v>
      </c>
      <c r="B15" t="s">
        <v>976</v>
      </c>
      <c r="C15" t="s">
        <v>1072</v>
      </c>
      <c r="D15">
        <v>1</v>
      </c>
      <c r="E15">
        <v>673.65</v>
      </c>
      <c r="F15">
        <v>673.65</v>
      </c>
      <c r="G15" t="str">
        <f t="shared" si="0"/>
        <v>November</v>
      </c>
      <c r="H15" s="1">
        <v>45623</v>
      </c>
      <c r="I15" t="s">
        <v>1073</v>
      </c>
      <c r="J15" t="s">
        <v>1084</v>
      </c>
    </row>
    <row r="16" spans="1:10" x14ac:dyDescent="0.3">
      <c r="A16" t="s">
        <v>1100</v>
      </c>
      <c r="B16" t="s">
        <v>839</v>
      </c>
      <c r="C16" t="s">
        <v>5</v>
      </c>
      <c r="D16">
        <v>5</v>
      </c>
      <c r="E16">
        <v>1533.71</v>
      </c>
      <c r="F16">
        <v>7668.55</v>
      </c>
      <c r="G16" t="str">
        <f t="shared" si="0"/>
        <v>March</v>
      </c>
      <c r="H16" s="1">
        <v>43548</v>
      </c>
      <c r="I16" t="s">
        <v>1087</v>
      </c>
      <c r="J16" t="s">
        <v>1093</v>
      </c>
    </row>
    <row r="17" spans="1:10" x14ac:dyDescent="0.3">
      <c r="A17" t="s">
        <v>1101</v>
      </c>
      <c r="B17" t="s">
        <v>712</v>
      </c>
      <c r="C17" t="s">
        <v>1091</v>
      </c>
      <c r="D17">
        <v>5</v>
      </c>
      <c r="E17">
        <v>171.57</v>
      </c>
      <c r="F17">
        <v>857.85</v>
      </c>
      <c r="G17" t="str">
        <f t="shared" si="0"/>
        <v>November</v>
      </c>
      <c r="H17" s="1">
        <v>44890</v>
      </c>
      <c r="I17" t="s">
        <v>1073</v>
      </c>
      <c r="J17" t="s">
        <v>1084</v>
      </c>
    </row>
    <row r="18" spans="1:10" x14ac:dyDescent="0.3">
      <c r="A18" t="s">
        <v>1102</v>
      </c>
      <c r="B18" t="s">
        <v>264</v>
      </c>
      <c r="C18" t="s">
        <v>1081</v>
      </c>
      <c r="D18">
        <v>1</v>
      </c>
      <c r="E18">
        <v>145.94999999999999</v>
      </c>
      <c r="F18">
        <v>145.94999999999999</v>
      </c>
      <c r="G18" t="str">
        <f t="shared" si="0"/>
        <v>March</v>
      </c>
      <c r="H18" s="1">
        <v>45746</v>
      </c>
      <c r="I18" t="s">
        <v>1089</v>
      </c>
      <c r="J18" t="s">
        <v>1074</v>
      </c>
    </row>
    <row r="19" spans="1:10" x14ac:dyDescent="0.3">
      <c r="A19" t="s">
        <v>1103</v>
      </c>
      <c r="B19" t="s">
        <v>703</v>
      </c>
      <c r="C19" t="s">
        <v>5</v>
      </c>
      <c r="D19">
        <v>1</v>
      </c>
      <c r="E19">
        <v>1153.96</v>
      </c>
      <c r="F19">
        <v>1153.96</v>
      </c>
      <c r="G19" t="str">
        <f t="shared" si="0"/>
        <v>July</v>
      </c>
      <c r="H19" s="1">
        <v>45844</v>
      </c>
      <c r="I19" t="s">
        <v>1089</v>
      </c>
      <c r="J19" t="s">
        <v>1074</v>
      </c>
    </row>
    <row r="20" spans="1:10" x14ac:dyDescent="0.3">
      <c r="A20" t="s">
        <v>1104</v>
      </c>
      <c r="B20" t="s">
        <v>703</v>
      </c>
      <c r="C20" t="s">
        <v>1072</v>
      </c>
      <c r="D20">
        <v>2</v>
      </c>
      <c r="E20">
        <v>189.96</v>
      </c>
      <c r="F20">
        <v>379.92</v>
      </c>
      <c r="G20" t="str">
        <f t="shared" si="0"/>
        <v>February</v>
      </c>
      <c r="H20" s="1">
        <v>45710</v>
      </c>
      <c r="I20" t="s">
        <v>1073</v>
      </c>
      <c r="J20" t="s">
        <v>1084</v>
      </c>
    </row>
    <row r="21" spans="1:10" x14ac:dyDescent="0.3">
      <c r="A21" t="s">
        <v>1105</v>
      </c>
      <c r="B21" t="s">
        <v>913</v>
      </c>
      <c r="C21" t="s">
        <v>1106</v>
      </c>
      <c r="D21">
        <v>4</v>
      </c>
      <c r="E21">
        <v>1743.1</v>
      </c>
      <c r="F21">
        <v>6972.4</v>
      </c>
      <c r="G21" t="str">
        <f t="shared" si="0"/>
        <v>December</v>
      </c>
      <c r="H21" s="1">
        <v>45282</v>
      </c>
      <c r="I21" t="s">
        <v>1077</v>
      </c>
      <c r="J21" t="s">
        <v>1082</v>
      </c>
    </row>
    <row r="22" spans="1:10" x14ac:dyDescent="0.3">
      <c r="A22" t="s">
        <v>1107</v>
      </c>
      <c r="B22" t="s">
        <v>396</v>
      </c>
      <c r="C22" t="s">
        <v>1081</v>
      </c>
      <c r="D22">
        <v>1</v>
      </c>
      <c r="E22">
        <v>1991.04</v>
      </c>
      <c r="F22">
        <v>1991.04</v>
      </c>
      <c r="G22" t="str">
        <f t="shared" si="0"/>
        <v>February</v>
      </c>
      <c r="H22" s="1">
        <v>44969</v>
      </c>
      <c r="I22" t="s">
        <v>1077</v>
      </c>
      <c r="J22" t="s">
        <v>1074</v>
      </c>
    </row>
    <row r="23" spans="1:10" x14ac:dyDescent="0.3">
      <c r="A23" t="s">
        <v>1108</v>
      </c>
      <c r="B23" t="s">
        <v>834</v>
      </c>
      <c r="C23" t="s">
        <v>1109</v>
      </c>
      <c r="D23">
        <v>2</v>
      </c>
      <c r="E23">
        <v>170.3</v>
      </c>
      <c r="F23">
        <v>340.6</v>
      </c>
      <c r="G23" t="str">
        <f t="shared" si="0"/>
        <v>December</v>
      </c>
      <c r="H23" s="1">
        <v>44913</v>
      </c>
      <c r="I23" t="s">
        <v>1073</v>
      </c>
      <c r="J23" t="s">
        <v>1079</v>
      </c>
    </row>
    <row r="24" spans="1:10" x14ac:dyDescent="0.3">
      <c r="A24" t="s">
        <v>1110</v>
      </c>
      <c r="B24" t="s">
        <v>834</v>
      </c>
      <c r="C24" t="s">
        <v>1072</v>
      </c>
      <c r="D24">
        <v>3</v>
      </c>
      <c r="E24">
        <v>410.48</v>
      </c>
      <c r="F24">
        <v>1231.44</v>
      </c>
      <c r="G24" t="str">
        <f t="shared" si="0"/>
        <v>August</v>
      </c>
      <c r="H24" s="1">
        <v>45884</v>
      </c>
      <c r="I24" t="s">
        <v>1073</v>
      </c>
      <c r="J24" t="s">
        <v>1084</v>
      </c>
    </row>
    <row r="25" spans="1:10" x14ac:dyDescent="0.3">
      <c r="A25" t="s">
        <v>1111</v>
      </c>
      <c r="B25" t="s">
        <v>1039</v>
      </c>
      <c r="C25" t="s">
        <v>5</v>
      </c>
      <c r="D25">
        <v>2</v>
      </c>
      <c r="E25">
        <v>831.04</v>
      </c>
      <c r="F25">
        <v>1662.08</v>
      </c>
      <c r="G25" t="str">
        <f t="shared" si="0"/>
        <v>April</v>
      </c>
      <c r="H25" s="1">
        <v>45774</v>
      </c>
      <c r="I25" t="s">
        <v>1077</v>
      </c>
      <c r="J25" t="s">
        <v>1093</v>
      </c>
    </row>
    <row r="26" spans="1:10" x14ac:dyDescent="0.3">
      <c r="A26" t="s">
        <v>1112</v>
      </c>
      <c r="B26" t="s">
        <v>407</v>
      </c>
      <c r="C26" t="s">
        <v>1091</v>
      </c>
      <c r="D26">
        <v>4</v>
      </c>
      <c r="E26">
        <v>1596.7</v>
      </c>
      <c r="F26">
        <v>6386.8</v>
      </c>
      <c r="G26" t="str">
        <f t="shared" si="0"/>
        <v>June</v>
      </c>
      <c r="H26" s="1">
        <v>44370</v>
      </c>
      <c r="I26" t="s">
        <v>1073</v>
      </c>
      <c r="J26" t="s">
        <v>1079</v>
      </c>
    </row>
    <row r="27" spans="1:10" x14ac:dyDescent="0.3">
      <c r="A27" t="s">
        <v>1113</v>
      </c>
      <c r="B27" t="s">
        <v>951</v>
      </c>
      <c r="C27" t="s">
        <v>1109</v>
      </c>
      <c r="D27">
        <v>3</v>
      </c>
      <c r="E27">
        <v>1239.26</v>
      </c>
      <c r="F27">
        <v>3717.78</v>
      </c>
      <c r="G27" t="str">
        <f t="shared" si="0"/>
        <v>June</v>
      </c>
      <c r="H27" s="1">
        <v>45447</v>
      </c>
      <c r="I27" t="s">
        <v>1087</v>
      </c>
      <c r="J27" t="s">
        <v>1084</v>
      </c>
    </row>
    <row r="28" spans="1:10" x14ac:dyDescent="0.3">
      <c r="A28" t="s">
        <v>1114</v>
      </c>
      <c r="B28" t="s">
        <v>332</v>
      </c>
      <c r="C28" t="s">
        <v>1109</v>
      </c>
      <c r="D28">
        <v>2</v>
      </c>
      <c r="E28">
        <v>218.45</v>
      </c>
      <c r="F28">
        <v>436.9</v>
      </c>
      <c r="G28" t="str">
        <f t="shared" si="0"/>
        <v>September</v>
      </c>
      <c r="H28" s="1">
        <v>43713</v>
      </c>
      <c r="I28" t="s">
        <v>1077</v>
      </c>
      <c r="J28" t="s">
        <v>1082</v>
      </c>
    </row>
    <row r="29" spans="1:10" x14ac:dyDescent="0.3">
      <c r="A29" t="s">
        <v>1115</v>
      </c>
      <c r="B29" t="s">
        <v>352</v>
      </c>
      <c r="C29" t="s">
        <v>5</v>
      </c>
      <c r="D29">
        <v>5</v>
      </c>
      <c r="E29">
        <v>1595.21</v>
      </c>
      <c r="F29">
        <v>7976.05</v>
      </c>
      <c r="G29" t="str">
        <f t="shared" si="0"/>
        <v>December</v>
      </c>
      <c r="H29" s="1">
        <v>43814</v>
      </c>
      <c r="I29" t="s">
        <v>1077</v>
      </c>
      <c r="J29" t="s">
        <v>1082</v>
      </c>
    </row>
    <row r="30" spans="1:10" x14ac:dyDescent="0.3">
      <c r="A30" t="s">
        <v>1116</v>
      </c>
      <c r="B30" t="s">
        <v>956</v>
      </c>
      <c r="C30" t="s">
        <v>1072</v>
      </c>
      <c r="D30">
        <v>1</v>
      </c>
      <c r="E30">
        <v>275.95</v>
      </c>
      <c r="F30">
        <v>275.95</v>
      </c>
      <c r="G30" t="str">
        <f t="shared" si="0"/>
        <v>August</v>
      </c>
      <c r="H30" s="1">
        <v>44064</v>
      </c>
      <c r="I30" t="s">
        <v>1089</v>
      </c>
      <c r="J30" t="s">
        <v>1082</v>
      </c>
    </row>
    <row r="31" spans="1:10" x14ac:dyDescent="0.3">
      <c r="A31" t="s">
        <v>1117</v>
      </c>
      <c r="B31" t="s">
        <v>356</v>
      </c>
      <c r="C31" t="s">
        <v>1081</v>
      </c>
      <c r="D31">
        <v>2</v>
      </c>
      <c r="E31">
        <v>1500.79</v>
      </c>
      <c r="F31">
        <v>3001.58</v>
      </c>
      <c r="G31" t="str">
        <f t="shared" si="0"/>
        <v>January</v>
      </c>
      <c r="H31" s="1">
        <v>44573</v>
      </c>
      <c r="I31" t="s">
        <v>1089</v>
      </c>
      <c r="J31" t="s">
        <v>1084</v>
      </c>
    </row>
    <row r="32" spans="1:10" x14ac:dyDescent="0.3">
      <c r="A32" t="s">
        <v>1118</v>
      </c>
      <c r="B32" t="s">
        <v>624</v>
      </c>
      <c r="C32" t="s">
        <v>1106</v>
      </c>
      <c r="D32">
        <v>5</v>
      </c>
      <c r="E32">
        <v>180.59</v>
      </c>
      <c r="F32">
        <v>902.95</v>
      </c>
      <c r="G32" t="str">
        <f t="shared" si="0"/>
        <v>November</v>
      </c>
      <c r="H32" s="1">
        <v>45231</v>
      </c>
      <c r="I32" t="s">
        <v>1089</v>
      </c>
      <c r="J32" t="s">
        <v>1084</v>
      </c>
    </row>
    <row r="33" spans="1:10" x14ac:dyDescent="0.3">
      <c r="A33" t="s">
        <v>1119</v>
      </c>
      <c r="B33" t="s">
        <v>793</v>
      </c>
      <c r="C33" t="s">
        <v>1072</v>
      </c>
      <c r="D33">
        <v>5</v>
      </c>
      <c r="E33">
        <v>1852.72</v>
      </c>
      <c r="F33">
        <v>9263.6</v>
      </c>
      <c r="G33" t="str">
        <f t="shared" si="0"/>
        <v>July</v>
      </c>
      <c r="H33" s="1">
        <v>44382</v>
      </c>
      <c r="I33" t="s">
        <v>1089</v>
      </c>
      <c r="J33" t="s">
        <v>1082</v>
      </c>
    </row>
    <row r="34" spans="1:10" x14ac:dyDescent="0.3">
      <c r="A34" t="s">
        <v>1120</v>
      </c>
      <c r="B34" t="s">
        <v>37</v>
      </c>
      <c r="C34" t="s">
        <v>1072</v>
      </c>
      <c r="D34">
        <v>4</v>
      </c>
      <c r="E34">
        <v>984.59</v>
      </c>
      <c r="F34">
        <v>3938.36</v>
      </c>
      <c r="G34" t="str">
        <f t="shared" si="0"/>
        <v>April</v>
      </c>
      <c r="H34" s="1">
        <v>43561</v>
      </c>
      <c r="I34" t="s">
        <v>1077</v>
      </c>
      <c r="J34" t="s">
        <v>1079</v>
      </c>
    </row>
    <row r="35" spans="1:10" x14ac:dyDescent="0.3">
      <c r="A35" t="s">
        <v>1121</v>
      </c>
      <c r="B35" t="s">
        <v>308</v>
      </c>
      <c r="C35" t="s">
        <v>1091</v>
      </c>
      <c r="D35">
        <v>2</v>
      </c>
      <c r="E35">
        <v>1423.74</v>
      </c>
      <c r="F35">
        <v>2847.48</v>
      </c>
      <c r="G35" t="str">
        <f t="shared" si="0"/>
        <v>June</v>
      </c>
      <c r="H35" s="1">
        <v>44376</v>
      </c>
      <c r="I35" t="s">
        <v>1089</v>
      </c>
      <c r="J35" t="s">
        <v>1084</v>
      </c>
    </row>
    <row r="36" spans="1:10" x14ac:dyDescent="0.3">
      <c r="A36" t="s">
        <v>1122</v>
      </c>
      <c r="B36" t="s">
        <v>619</v>
      </c>
      <c r="C36" t="s">
        <v>1106</v>
      </c>
      <c r="D36">
        <v>3</v>
      </c>
      <c r="E36">
        <v>34.229999999999997</v>
      </c>
      <c r="F36">
        <v>102.69</v>
      </c>
      <c r="G36" t="str">
        <f t="shared" si="0"/>
        <v>April</v>
      </c>
      <c r="H36" s="1">
        <v>45032</v>
      </c>
      <c r="I36" t="s">
        <v>1073</v>
      </c>
      <c r="J36" t="s">
        <v>1079</v>
      </c>
    </row>
    <row r="37" spans="1:10" x14ac:dyDescent="0.3">
      <c r="A37" t="s">
        <v>1123</v>
      </c>
      <c r="B37" t="s">
        <v>27</v>
      </c>
      <c r="C37" t="s">
        <v>1076</v>
      </c>
      <c r="D37">
        <v>1</v>
      </c>
      <c r="E37">
        <v>983.17</v>
      </c>
      <c r="F37">
        <v>983.17</v>
      </c>
      <c r="G37" t="str">
        <f t="shared" si="0"/>
        <v>September</v>
      </c>
      <c r="H37" s="1">
        <v>44461</v>
      </c>
      <c r="I37" t="s">
        <v>1095</v>
      </c>
      <c r="J37" t="s">
        <v>1079</v>
      </c>
    </row>
    <row r="38" spans="1:10" x14ac:dyDescent="0.3">
      <c r="A38" t="s">
        <v>1124</v>
      </c>
      <c r="B38" t="s">
        <v>807</v>
      </c>
      <c r="C38" t="s">
        <v>1109</v>
      </c>
      <c r="D38">
        <v>5</v>
      </c>
      <c r="E38">
        <v>1670.7</v>
      </c>
      <c r="F38">
        <v>8353.5</v>
      </c>
      <c r="G38" t="str">
        <f t="shared" si="0"/>
        <v>October</v>
      </c>
      <c r="H38" s="1">
        <v>43758</v>
      </c>
      <c r="I38" t="s">
        <v>1095</v>
      </c>
      <c r="J38" t="s">
        <v>1082</v>
      </c>
    </row>
    <row r="39" spans="1:10" x14ac:dyDescent="0.3">
      <c r="A39" t="s">
        <v>1125</v>
      </c>
      <c r="B39" t="s">
        <v>1002</v>
      </c>
      <c r="C39" t="s">
        <v>1081</v>
      </c>
      <c r="D39">
        <v>3</v>
      </c>
      <c r="E39">
        <v>1433.02</v>
      </c>
      <c r="F39">
        <v>4299.0600000000004</v>
      </c>
      <c r="G39" t="str">
        <f t="shared" si="0"/>
        <v>March</v>
      </c>
      <c r="H39" s="1">
        <v>43920</v>
      </c>
      <c r="I39" t="s">
        <v>1095</v>
      </c>
      <c r="J39" t="s">
        <v>1084</v>
      </c>
    </row>
    <row r="40" spans="1:10" x14ac:dyDescent="0.3">
      <c r="A40" t="s">
        <v>1126</v>
      </c>
      <c r="B40" t="s">
        <v>16</v>
      </c>
      <c r="C40" t="s">
        <v>1106</v>
      </c>
      <c r="D40">
        <v>5</v>
      </c>
      <c r="E40">
        <v>542.27</v>
      </c>
      <c r="F40">
        <v>2711.35</v>
      </c>
      <c r="G40" t="str">
        <f t="shared" si="0"/>
        <v>October</v>
      </c>
      <c r="H40" s="1">
        <v>45958</v>
      </c>
      <c r="I40" t="s">
        <v>1073</v>
      </c>
      <c r="J40" t="s">
        <v>1084</v>
      </c>
    </row>
    <row r="41" spans="1:10" x14ac:dyDescent="0.3">
      <c r="A41" t="s">
        <v>1127</v>
      </c>
      <c r="B41" t="s">
        <v>494</v>
      </c>
      <c r="C41" t="s">
        <v>1097</v>
      </c>
      <c r="D41">
        <v>5</v>
      </c>
      <c r="E41">
        <v>723.17</v>
      </c>
      <c r="F41">
        <v>3615.85</v>
      </c>
      <c r="G41" t="str">
        <f t="shared" si="0"/>
        <v>March</v>
      </c>
      <c r="H41" s="1">
        <v>44266</v>
      </c>
      <c r="I41" t="s">
        <v>1077</v>
      </c>
      <c r="J41" t="s">
        <v>1074</v>
      </c>
    </row>
    <row r="42" spans="1:10" x14ac:dyDescent="0.3">
      <c r="A42" t="s">
        <v>1128</v>
      </c>
      <c r="B42" t="s">
        <v>412</v>
      </c>
      <c r="C42" t="s">
        <v>1129</v>
      </c>
      <c r="D42">
        <v>4</v>
      </c>
      <c r="E42">
        <v>1849.27</v>
      </c>
      <c r="F42">
        <v>7397.08</v>
      </c>
      <c r="G42" t="str">
        <f t="shared" si="0"/>
        <v>November</v>
      </c>
      <c r="H42" s="1">
        <v>45237</v>
      </c>
      <c r="I42" t="s">
        <v>1073</v>
      </c>
      <c r="J42" t="s">
        <v>1079</v>
      </c>
    </row>
    <row r="43" spans="1:10" x14ac:dyDescent="0.3">
      <c r="A43" t="s">
        <v>1130</v>
      </c>
      <c r="B43" t="s">
        <v>453</v>
      </c>
      <c r="C43" t="s">
        <v>1109</v>
      </c>
      <c r="D43">
        <v>3</v>
      </c>
      <c r="E43">
        <v>409.9</v>
      </c>
      <c r="F43">
        <v>1229.7</v>
      </c>
      <c r="G43" t="str">
        <f t="shared" si="0"/>
        <v>September</v>
      </c>
      <c r="H43" s="1">
        <v>45916</v>
      </c>
      <c r="I43" t="s">
        <v>1087</v>
      </c>
      <c r="J43" t="s">
        <v>1084</v>
      </c>
    </row>
    <row r="44" spans="1:10" x14ac:dyDescent="0.3">
      <c r="A44" t="s">
        <v>1131</v>
      </c>
      <c r="B44" t="s">
        <v>744</v>
      </c>
      <c r="C44" t="s">
        <v>1081</v>
      </c>
      <c r="D44">
        <v>2</v>
      </c>
      <c r="E44">
        <v>335.31</v>
      </c>
      <c r="F44">
        <v>670.62</v>
      </c>
      <c r="G44" t="str">
        <f t="shared" si="0"/>
        <v>March</v>
      </c>
      <c r="H44" s="1">
        <v>45012</v>
      </c>
      <c r="I44" t="s">
        <v>1073</v>
      </c>
      <c r="J44" t="s">
        <v>1093</v>
      </c>
    </row>
    <row r="45" spans="1:10" x14ac:dyDescent="0.3">
      <c r="A45" t="s">
        <v>1132</v>
      </c>
      <c r="B45" t="s">
        <v>367</v>
      </c>
      <c r="C45" t="s">
        <v>5</v>
      </c>
      <c r="D45">
        <v>1</v>
      </c>
      <c r="E45">
        <v>259.02999999999997</v>
      </c>
      <c r="F45">
        <v>259.02999999999997</v>
      </c>
      <c r="G45" t="str">
        <f t="shared" si="0"/>
        <v>May</v>
      </c>
      <c r="H45" s="1">
        <v>44683</v>
      </c>
      <c r="I45" t="s">
        <v>1077</v>
      </c>
      <c r="J45" t="s">
        <v>1082</v>
      </c>
    </row>
    <row r="46" spans="1:10" x14ac:dyDescent="0.3">
      <c r="A46" t="s">
        <v>1133</v>
      </c>
      <c r="B46" t="s">
        <v>908</v>
      </c>
      <c r="C46" t="s">
        <v>1081</v>
      </c>
      <c r="D46">
        <v>4</v>
      </c>
      <c r="E46">
        <v>358.38</v>
      </c>
      <c r="F46">
        <v>1433.52</v>
      </c>
      <c r="G46" t="str">
        <f t="shared" si="0"/>
        <v>February</v>
      </c>
      <c r="H46" s="1">
        <v>45695</v>
      </c>
      <c r="I46" t="s">
        <v>1073</v>
      </c>
      <c r="J46" t="s">
        <v>1074</v>
      </c>
    </row>
    <row r="47" spans="1:10" x14ac:dyDescent="0.3">
      <c r="A47" t="s">
        <v>1134</v>
      </c>
      <c r="B47" t="s">
        <v>946</v>
      </c>
      <c r="C47" t="s">
        <v>1135</v>
      </c>
      <c r="D47">
        <v>2</v>
      </c>
      <c r="E47">
        <v>1430.55</v>
      </c>
      <c r="F47">
        <v>2861.1</v>
      </c>
      <c r="G47" t="str">
        <f t="shared" si="0"/>
        <v>July</v>
      </c>
      <c r="H47" s="1">
        <v>44035</v>
      </c>
      <c r="I47" t="s">
        <v>1089</v>
      </c>
      <c r="J47" t="s">
        <v>1079</v>
      </c>
    </row>
    <row r="48" spans="1:10" x14ac:dyDescent="0.3">
      <c r="A48" t="s">
        <v>1136</v>
      </c>
      <c r="B48" t="s">
        <v>918</v>
      </c>
      <c r="C48" t="s">
        <v>1109</v>
      </c>
      <c r="D48">
        <v>2</v>
      </c>
      <c r="E48">
        <v>1563.16</v>
      </c>
      <c r="F48">
        <v>3126.32</v>
      </c>
      <c r="G48" t="str">
        <f t="shared" si="0"/>
        <v>February</v>
      </c>
      <c r="H48" s="1">
        <v>43521</v>
      </c>
      <c r="I48" t="s">
        <v>1095</v>
      </c>
      <c r="J48" t="s">
        <v>1093</v>
      </c>
    </row>
    <row r="49" spans="1:10" x14ac:dyDescent="0.3">
      <c r="A49" t="s">
        <v>1137</v>
      </c>
      <c r="B49" t="s">
        <v>545</v>
      </c>
      <c r="C49" t="s">
        <v>1109</v>
      </c>
      <c r="D49">
        <v>4</v>
      </c>
      <c r="E49">
        <v>354.31</v>
      </c>
      <c r="F49">
        <v>1417.24</v>
      </c>
      <c r="G49" t="str">
        <f t="shared" si="0"/>
        <v>October</v>
      </c>
      <c r="H49" s="1">
        <v>45595</v>
      </c>
      <c r="I49" t="s">
        <v>1089</v>
      </c>
      <c r="J49" t="s">
        <v>1079</v>
      </c>
    </row>
    <row r="50" spans="1:10" x14ac:dyDescent="0.3">
      <c r="A50" t="s">
        <v>1138</v>
      </c>
      <c r="B50" t="s">
        <v>494</v>
      </c>
      <c r="C50" t="s">
        <v>1097</v>
      </c>
      <c r="D50">
        <v>3</v>
      </c>
      <c r="E50">
        <v>449.36</v>
      </c>
      <c r="F50">
        <v>1348.08</v>
      </c>
      <c r="G50" t="str">
        <f t="shared" si="0"/>
        <v>December</v>
      </c>
      <c r="H50" s="1">
        <v>44176</v>
      </c>
      <c r="I50" t="s">
        <v>1095</v>
      </c>
      <c r="J50" t="s">
        <v>1082</v>
      </c>
    </row>
    <row r="51" spans="1:10" x14ac:dyDescent="0.3">
      <c r="A51" t="s">
        <v>1139</v>
      </c>
      <c r="B51" t="s">
        <v>1053</v>
      </c>
      <c r="C51" t="s">
        <v>1076</v>
      </c>
      <c r="D51">
        <v>5</v>
      </c>
      <c r="E51">
        <v>1025.27</v>
      </c>
      <c r="F51">
        <v>5126.3500000000004</v>
      </c>
      <c r="G51" t="str">
        <f t="shared" si="0"/>
        <v>April</v>
      </c>
      <c r="H51" s="1">
        <v>44296</v>
      </c>
      <c r="I51" t="s">
        <v>1073</v>
      </c>
      <c r="J51" t="s">
        <v>1093</v>
      </c>
    </row>
    <row r="52" spans="1:10" x14ac:dyDescent="0.3">
      <c r="A52" t="s">
        <v>1140</v>
      </c>
      <c r="B52" t="s">
        <v>16</v>
      </c>
      <c r="C52" t="s">
        <v>1076</v>
      </c>
      <c r="D52">
        <v>1</v>
      </c>
      <c r="E52">
        <v>1009.52</v>
      </c>
      <c r="F52">
        <v>1009.52</v>
      </c>
      <c r="G52" t="str">
        <f t="shared" si="0"/>
        <v>May</v>
      </c>
      <c r="H52" s="1">
        <v>44333</v>
      </c>
      <c r="I52" t="s">
        <v>1073</v>
      </c>
      <c r="J52" t="s">
        <v>1093</v>
      </c>
    </row>
    <row r="53" spans="1:10" x14ac:dyDescent="0.3">
      <c r="A53" t="s">
        <v>1141</v>
      </c>
      <c r="B53" t="s">
        <v>488</v>
      </c>
      <c r="C53" t="s">
        <v>1091</v>
      </c>
      <c r="D53">
        <v>3</v>
      </c>
      <c r="E53">
        <v>975.73</v>
      </c>
      <c r="F53">
        <v>2927.19</v>
      </c>
      <c r="G53" t="str">
        <f t="shared" si="0"/>
        <v>October</v>
      </c>
      <c r="H53" s="1">
        <v>45218</v>
      </c>
      <c r="I53" t="s">
        <v>1089</v>
      </c>
      <c r="J53" t="s">
        <v>1093</v>
      </c>
    </row>
    <row r="54" spans="1:10" x14ac:dyDescent="0.3">
      <c r="A54" t="s">
        <v>1142</v>
      </c>
      <c r="B54" t="s">
        <v>820</v>
      </c>
      <c r="C54" t="s">
        <v>1109</v>
      </c>
      <c r="D54">
        <v>3</v>
      </c>
      <c r="E54">
        <v>450.74</v>
      </c>
      <c r="F54">
        <v>1352.22</v>
      </c>
      <c r="G54" t="str">
        <f t="shared" si="0"/>
        <v>March</v>
      </c>
      <c r="H54" s="1">
        <v>45016</v>
      </c>
      <c r="I54" t="s">
        <v>1077</v>
      </c>
      <c r="J54" t="s">
        <v>1079</v>
      </c>
    </row>
    <row r="55" spans="1:10" x14ac:dyDescent="0.3">
      <c r="A55" t="s">
        <v>1143</v>
      </c>
      <c r="B55" t="s">
        <v>275</v>
      </c>
      <c r="C55" t="s">
        <v>1091</v>
      </c>
      <c r="D55">
        <v>3</v>
      </c>
      <c r="E55">
        <v>1846.68</v>
      </c>
      <c r="F55">
        <v>5540.04</v>
      </c>
      <c r="G55" t="str">
        <f t="shared" si="0"/>
        <v>July</v>
      </c>
      <c r="H55" s="1">
        <v>45497</v>
      </c>
      <c r="I55" t="s">
        <v>1087</v>
      </c>
      <c r="J55" t="s">
        <v>1093</v>
      </c>
    </row>
    <row r="56" spans="1:10" x14ac:dyDescent="0.3">
      <c r="A56" t="s">
        <v>1144</v>
      </c>
      <c r="B56" t="s">
        <v>788</v>
      </c>
      <c r="C56" t="s">
        <v>1097</v>
      </c>
      <c r="D56">
        <v>3</v>
      </c>
      <c r="E56">
        <v>1722.96</v>
      </c>
      <c r="F56">
        <v>5168.88</v>
      </c>
      <c r="G56" t="str">
        <f t="shared" si="0"/>
        <v>September</v>
      </c>
      <c r="H56" s="1">
        <v>43733</v>
      </c>
      <c r="I56" t="s">
        <v>1073</v>
      </c>
      <c r="J56" t="s">
        <v>1079</v>
      </c>
    </row>
    <row r="57" spans="1:10" x14ac:dyDescent="0.3">
      <c r="A57" t="s">
        <v>1145</v>
      </c>
      <c r="B57" t="s">
        <v>768</v>
      </c>
      <c r="C57" t="s">
        <v>1081</v>
      </c>
      <c r="D57">
        <v>5</v>
      </c>
      <c r="E57">
        <v>1418.47</v>
      </c>
      <c r="F57">
        <v>7092.35</v>
      </c>
      <c r="G57" t="str">
        <f t="shared" si="0"/>
        <v>June</v>
      </c>
      <c r="H57" s="1">
        <v>45828</v>
      </c>
      <c r="I57" t="s">
        <v>1089</v>
      </c>
      <c r="J57" t="s">
        <v>1084</v>
      </c>
    </row>
    <row r="58" spans="1:10" x14ac:dyDescent="0.3">
      <c r="A58" t="s">
        <v>1146</v>
      </c>
      <c r="B58" t="s">
        <v>1039</v>
      </c>
      <c r="C58" t="s">
        <v>5</v>
      </c>
      <c r="D58">
        <v>1</v>
      </c>
      <c r="E58">
        <v>673.22</v>
      </c>
      <c r="F58">
        <v>673.22</v>
      </c>
      <c r="G58" t="str">
        <f t="shared" si="0"/>
        <v>September</v>
      </c>
      <c r="H58" s="1">
        <v>44103</v>
      </c>
      <c r="I58" t="s">
        <v>1077</v>
      </c>
      <c r="J58" t="s">
        <v>1082</v>
      </c>
    </row>
    <row r="59" spans="1:10" x14ac:dyDescent="0.3">
      <c r="A59" t="s">
        <v>1147</v>
      </c>
      <c r="B59" t="s">
        <v>338</v>
      </c>
      <c r="C59" t="s">
        <v>1129</v>
      </c>
      <c r="D59">
        <v>1</v>
      </c>
      <c r="E59">
        <v>1629.35</v>
      </c>
      <c r="F59">
        <v>1629.35</v>
      </c>
      <c r="G59" t="str">
        <f t="shared" si="0"/>
        <v>February</v>
      </c>
      <c r="H59" s="1">
        <v>43881</v>
      </c>
      <c r="I59" t="s">
        <v>1087</v>
      </c>
      <c r="J59" t="s">
        <v>1084</v>
      </c>
    </row>
    <row r="60" spans="1:10" x14ac:dyDescent="0.3">
      <c r="A60" t="s">
        <v>1148</v>
      </c>
      <c r="B60" t="s">
        <v>383</v>
      </c>
      <c r="C60" t="s">
        <v>1097</v>
      </c>
      <c r="D60">
        <v>4</v>
      </c>
      <c r="E60">
        <v>1691.51</v>
      </c>
      <c r="F60">
        <v>6766.04</v>
      </c>
      <c r="G60" t="str">
        <f t="shared" si="0"/>
        <v>January</v>
      </c>
      <c r="H60" s="1">
        <v>44951</v>
      </c>
      <c r="I60" t="s">
        <v>1077</v>
      </c>
      <c r="J60" t="s">
        <v>1079</v>
      </c>
    </row>
    <row r="61" spans="1:10" x14ac:dyDescent="0.3">
      <c r="A61" t="s">
        <v>1149</v>
      </c>
      <c r="B61" t="s">
        <v>614</v>
      </c>
      <c r="C61" t="s">
        <v>1091</v>
      </c>
      <c r="D61">
        <v>5</v>
      </c>
      <c r="E61">
        <v>155.87</v>
      </c>
      <c r="F61">
        <v>779.35</v>
      </c>
      <c r="G61" t="str">
        <f t="shared" si="0"/>
        <v>May</v>
      </c>
      <c r="H61" s="1">
        <v>44700</v>
      </c>
      <c r="I61" t="s">
        <v>1087</v>
      </c>
      <c r="J61" t="s">
        <v>1082</v>
      </c>
    </row>
    <row r="62" spans="1:10" x14ac:dyDescent="0.3">
      <c r="A62" t="s">
        <v>1150</v>
      </c>
      <c r="B62" t="s">
        <v>669</v>
      </c>
      <c r="C62" t="s">
        <v>1091</v>
      </c>
      <c r="D62">
        <v>5</v>
      </c>
      <c r="E62">
        <v>295.10000000000002</v>
      </c>
      <c r="F62">
        <v>1475.5</v>
      </c>
      <c r="G62" t="str">
        <f t="shared" si="0"/>
        <v>January</v>
      </c>
      <c r="H62" s="1">
        <v>45661</v>
      </c>
      <c r="I62" t="s">
        <v>1087</v>
      </c>
      <c r="J62" t="s">
        <v>1074</v>
      </c>
    </row>
    <row r="63" spans="1:10" x14ac:dyDescent="0.3">
      <c r="A63" t="s">
        <v>1151</v>
      </c>
      <c r="B63" t="s">
        <v>478</v>
      </c>
      <c r="C63" t="s">
        <v>1081</v>
      </c>
      <c r="D63">
        <v>3</v>
      </c>
      <c r="E63">
        <v>289.66000000000003</v>
      </c>
      <c r="F63">
        <v>868.98</v>
      </c>
      <c r="G63" t="str">
        <f t="shared" si="0"/>
        <v>June</v>
      </c>
      <c r="H63" s="1">
        <v>44348</v>
      </c>
      <c r="I63" t="s">
        <v>1095</v>
      </c>
      <c r="J63" t="s">
        <v>1082</v>
      </c>
    </row>
    <row r="64" spans="1:10" x14ac:dyDescent="0.3">
      <c r="A64" t="s">
        <v>1152</v>
      </c>
      <c r="B64" t="s">
        <v>468</v>
      </c>
      <c r="C64" t="s">
        <v>1081</v>
      </c>
      <c r="D64">
        <v>2</v>
      </c>
      <c r="E64">
        <v>999.85</v>
      </c>
      <c r="F64">
        <v>1999.7</v>
      </c>
      <c r="G64" t="str">
        <f t="shared" si="0"/>
        <v>July</v>
      </c>
      <c r="H64" s="1">
        <v>43655</v>
      </c>
      <c r="I64" t="s">
        <v>1073</v>
      </c>
      <c r="J64" t="s">
        <v>1074</v>
      </c>
    </row>
    <row r="65" spans="1:10" x14ac:dyDescent="0.3">
      <c r="A65" t="s">
        <v>1153</v>
      </c>
      <c r="B65" t="s">
        <v>966</v>
      </c>
      <c r="C65" t="s">
        <v>1109</v>
      </c>
      <c r="D65">
        <v>1</v>
      </c>
      <c r="E65">
        <v>1376.01</v>
      </c>
      <c r="F65">
        <v>1376.01</v>
      </c>
      <c r="G65" t="str">
        <f t="shared" si="0"/>
        <v>July</v>
      </c>
      <c r="H65" s="1">
        <v>44768</v>
      </c>
      <c r="I65" t="s">
        <v>1073</v>
      </c>
      <c r="J65" t="s">
        <v>1082</v>
      </c>
    </row>
    <row r="66" spans="1:10" x14ac:dyDescent="0.3">
      <c r="A66" t="s">
        <v>1154</v>
      </c>
      <c r="B66" t="s">
        <v>744</v>
      </c>
      <c r="C66" t="s">
        <v>1129</v>
      </c>
      <c r="D66">
        <v>3</v>
      </c>
      <c r="E66">
        <v>1052.05</v>
      </c>
      <c r="F66">
        <v>3156.15</v>
      </c>
      <c r="G66" t="str">
        <f t="shared" si="0"/>
        <v>August</v>
      </c>
      <c r="H66" s="1">
        <v>45870</v>
      </c>
      <c r="I66" t="s">
        <v>1073</v>
      </c>
      <c r="J66" t="s">
        <v>1079</v>
      </c>
    </row>
    <row r="67" spans="1:10" x14ac:dyDescent="0.3">
      <c r="A67" t="s">
        <v>1155</v>
      </c>
      <c r="B67" t="s">
        <v>246</v>
      </c>
      <c r="C67" t="s">
        <v>1081</v>
      </c>
      <c r="D67">
        <v>5</v>
      </c>
      <c r="E67">
        <v>1698.77</v>
      </c>
      <c r="F67">
        <v>8493.85</v>
      </c>
      <c r="G67" t="str">
        <f t="shared" ref="G67:G130" si="1">TEXT(H67,"mmmm")</f>
        <v>November</v>
      </c>
      <c r="H67" s="1">
        <v>44147</v>
      </c>
      <c r="I67" t="s">
        <v>1087</v>
      </c>
      <c r="J67" t="s">
        <v>1082</v>
      </c>
    </row>
    <row r="68" spans="1:10" x14ac:dyDescent="0.3">
      <c r="A68" t="s">
        <v>1156</v>
      </c>
      <c r="B68" t="s">
        <v>65</v>
      </c>
      <c r="C68" t="s">
        <v>1091</v>
      </c>
      <c r="D68">
        <v>5</v>
      </c>
      <c r="E68">
        <v>421.6</v>
      </c>
      <c r="F68">
        <v>2108</v>
      </c>
      <c r="G68" t="str">
        <f t="shared" si="1"/>
        <v>June</v>
      </c>
      <c r="H68" s="1">
        <v>44352</v>
      </c>
      <c r="I68" t="s">
        <v>1089</v>
      </c>
      <c r="J68" t="s">
        <v>1079</v>
      </c>
    </row>
    <row r="69" spans="1:10" x14ac:dyDescent="0.3">
      <c r="A69" t="s">
        <v>1157</v>
      </c>
      <c r="B69" t="s">
        <v>438</v>
      </c>
      <c r="C69" t="s">
        <v>1081</v>
      </c>
      <c r="D69">
        <v>5</v>
      </c>
      <c r="E69">
        <v>1635.04</v>
      </c>
      <c r="F69">
        <v>8175.2</v>
      </c>
      <c r="G69" t="str">
        <f t="shared" si="1"/>
        <v>June</v>
      </c>
      <c r="H69" s="1">
        <v>45810</v>
      </c>
      <c r="I69" t="s">
        <v>1089</v>
      </c>
      <c r="J69" t="s">
        <v>1079</v>
      </c>
    </row>
    <row r="70" spans="1:10" x14ac:dyDescent="0.3">
      <c r="A70" t="s">
        <v>1158</v>
      </c>
      <c r="B70" t="s">
        <v>922</v>
      </c>
      <c r="C70" t="s">
        <v>1097</v>
      </c>
      <c r="D70">
        <v>2</v>
      </c>
      <c r="E70">
        <v>1883.57</v>
      </c>
      <c r="F70">
        <v>3767.14</v>
      </c>
      <c r="G70" t="str">
        <f t="shared" si="1"/>
        <v>September</v>
      </c>
      <c r="H70" s="1">
        <v>44092</v>
      </c>
      <c r="I70" t="s">
        <v>1087</v>
      </c>
      <c r="J70" t="s">
        <v>1074</v>
      </c>
    </row>
    <row r="71" spans="1:10" x14ac:dyDescent="0.3">
      <c r="A71" t="s">
        <v>1159</v>
      </c>
      <c r="B71" t="s">
        <v>669</v>
      </c>
      <c r="C71" t="s">
        <v>1109</v>
      </c>
      <c r="D71">
        <v>1</v>
      </c>
      <c r="E71">
        <v>300.13</v>
      </c>
      <c r="F71">
        <v>300.13</v>
      </c>
      <c r="G71" t="str">
        <f t="shared" si="1"/>
        <v>December</v>
      </c>
      <c r="H71" s="1">
        <v>44171</v>
      </c>
      <c r="I71" t="s">
        <v>1095</v>
      </c>
      <c r="J71" t="s">
        <v>1084</v>
      </c>
    </row>
    <row r="72" spans="1:10" x14ac:dyDescent="0.3">
      <c r="A72" t="s">
        <v>1160</v>
      </c>
      <c r="B72" t="s">
        <v>740</v>
      </c>
      <c r="C72" t="s">
        <v>5</v>
      </c>
      <c r="D72">
        <v>2</v>
      </c>
      <c r="E72">
        <v>599.64</v>
      </c>
      <c r="F72">
        <v>1199.28</v>
      </c>
      <c r="G72" t="str">
        <f t="shared" si="1"/>
        <v>January</v>
      </c>
      <c r="H72" s="1">
        <v>44225</v>
      </c>
      <c r="I72" t="s">
        <v>1087</v>
      </c>
      <c r="J72" t="s">
        <v>1074</v>
      </c>
    </row>
    <row r="73" spans="1:10" x14ac:dyDescent="0.3">
      <c r="A73" t="s">
        <v>1161</v>
      </c>
      <c r="B73" t="s">
        <v>665</v>
      </c>
      <c r="C73" t="s">
        <v>1129</v>
      </c>
      <c r="D73">
        <v>3</v>
      </c>
      <c r="E73">
        <v>649.08000000000004</v>
      </c>
      <c r="F73">
        <v>1947.24</v>
      </c>
      <c r="G73" t="str">
        <f t="shared" si="1"/>
        <v>July</v>
      </c>
      <c r="H73" s="1">
        <v>44028</v>
      </c>
      <c r="I73" t="s">
        <v>1077</v>
      </c>
      <c r="J73" t="s">
        <v>1082</v>
      </c>
    </row>
    <row r="74" spans="1:10" x14ac:dyDescent="0.3">
      <c r="A74" t="s">
        <v>1162</v>
      </c>
      <c r="B74" t="s">
        <v>629</v>
      </c>
      <c r="C74" t="s">
        <v>1129</v>
      </c>
      <c r="D74">
        <v>3</v>
      </c>
      <c r="E74">
        <v>1033.18</v>
      </c>
      <c r="F74">
        <v>3099.54</v>
      </c>
      <c r="G74" t="str">
        <f t="shared" si="1"/>
        <v>October</v>
      </c>
      <c r="H74" s="1">
        <v>45939</v>
      </c>
      <c r="I74" t="s">
        <v>1077</v>
      </c>
      <c r="J74" t="s">
        <v>1079</v>
      </c>
    </row>
    <row r="75" spans="1:10" x14ac:dyDescent="0.3">
      <c r="A75" t="s">
        <v>1163</v>
      </c>
      <c r="B75" t="s">
        <v>1015</v>
      </c>
      <c r="C75" t="s">
        <v>1135</v>
      </c>
      <c r="D75">
        <v>4</v>
      </c>
      <c r="E75">
        <v>935.31</v>
      </c>
      <c r="F75">
        <v>3741.24</v>
      </c>
      <c r="G75" t="str">
        <f t="shared" si="1"/>
        <v>January</v>
      </c>
      <c r="H75" s="1">
        <v>44956</v>
      </c>
      <c r="I75" t="s">
        <v>1077</v>
      </c>
      <c r="J75" t="s">
        <v>1093</v>
      </c>
    </row>
    <row r="76" spans="1:10" x14ac:dyDescent="0.3">
      <c r="A76" t="s">
        <v>1164</v>
      </c>
      <c r="B76" t="s">
        <v>423</v>
      </c>
      <c r="C76" t="s">
        <v>1081</v>
      </c>
      <c r="D76">
        <v>2</v>
      </c>
      <c r="E76">
        <v>664.11</v>
      </c>
      <c r="F76">
        <v>1328.22</v>
      </c>
      <c r="G76" t="str">
        <f t="shared" si="1"/>
        <v>November</v>
      </c>
      <c r="H76" s="1">
        <v>45605</v>
      </c>
      <c r="I76" t="s">
        <v>1095</v>
      </c>
      <c r="J76" t="s">
        <v>1074</v>
      </c>
    </row>
    <row r="77" spans="1:10" x14ac:dyDescent="0.3">
      <c r="A77" t="s">
        <v>1165</v>
      </c>
      <c r="B77" t="s">
        <v>1019</v>
      </c>
      <c r="C77" t="s">
        <v>1076</v>
      </c>
      <c r="D77">
        <v>3</v>
      </c>
      <c r="E77">
        <v>944.93</v>
      </c>
      <c r="F77">
        <v>2834.79</v>
      </c>
      <c r="G77" t="str">
        <f t="shared" si="1"/>
        <v>June</v>
      </c>
      <c r="H77" s="1">
        <v>45107</v>
      </c>
      <c r="I77" t="s">
        <v>1073</v>
      </c>
      <c r="J77" t="s">
        <v>1084</v>
      </c>
    </row>
    <row r="78" spans="1:10" x14ac:dyDescent="0.3">
      <c r="A78" t="s">
        <v>1166</v>
      </c>
      <c r="B78" t="s">
        <v>669</v>
      </c>
      <c r="C78" t="s">
        <v>1081</v>
      </c>
      <c r="D78">
        <v>5</v>
      </c>
      <c r="E78">
        <v>1889.65</v>
      </c>
      <c r="F78">
        <v>9448.25</v>
      </c>
      <c r="G78" t="str">
        <f t="shared" si="1"/>
        <v>June</v>
      </c>
      <c r="H78" s="1">
        <v>45456</v>
      </c>
      <c r="I78" t="s">
        <v>1073</v>
      </c>
      <c r="J78" t="s">
        <v>1093</v>
      </c>
    </row>
    <row r="79" spans="1:10" x14ac:dyDescent="0.3">
      <c r="A79" t="s">
        <v>1167</v>
      </c>
      <c r="B79" t="s">
        <v>246</v>
      </c>
      <c r="C79" t="s">
        <v>1081</v>
      </c>
      <c r="D79">
        <v>5</v>
      </c>
      <c r="E79">
        <v>1307.3900000000001</v>
      </c>
      <c r="F79">
        <v>6536.95</v>
      </c>
      <c r="G79" t="str">
        <f t="shared" si="1"/>
        <v>June</v>
      </c>
      <c r="H79" s="1">
        <v>43622</v>
      </c>
      <c r="I79" t="s">
        <v>1095</v>
      </c>
      <c r="J79" t="s">
        <v>1084</v>
      </c>
    </row>
    <row r="80" spans="1:10" x14ac:dyDescent="0.3">
      <c r="A80" t="s">
        <v>1168</v>
      </c>
      <c r="B80" t="s">
        <v>74</v>
      </c>
      <c r="C80" t="s">
        <v>1072</v>
      </c>
      <c r="D80">
        <v>2</v>
      </c>
      <c r="E80">
        <v>1813.23</v>
      </c>
      <c r="F80">
        <v>3626.46</v>
      </c>
      <c r="G80" t="str">
        <f t="shared" si="1"/>
        <v>December</v>
      </c>
      <c r="H80" s="1">
        <v>44917</v>
      </c>
      <c r="I80" t="s">
        <v>1077</v>
      </c>
      <c r="J80" t="s">
        <v>1079</v>
      </c>
    </row>
    <row r="81" spans="1:10" x14ac:dyDescent="0.3">
      <c r="A81" t="s">
        <v>1169</v>
      </c>
      <c r="B81" t="s">
        <v>229</v>
      </c>
      <c r="C81" t="s">
        <v>1135</v>
      </c>
      <c r="D81">
        <v>2</v>
      </c>
      <c r="E81">
        <v>462.86</v>
      </c>
      <c r="F81">
        <v>925.72</v>
      </c>
      <c r="G81" t="str">
        <f t="shared" si="1"/>
        <v>March</v>
      </c>
      <c r="H81" s="1">
        <v>44637</v>
      </c>
      <c r="I81" t="s">
        <v>1087</v>
      </c>
      <c r="J81" t="s">
        <v>1079</v>
      </c>
    </row>
    <row r="82" spans="1:10" x14ac:dyDescent="0.3">
      <c r="A82" t="s">
        <v>1170</v>
      </c>
      <c r="B82" t="s">
        <v>286</v>
      </c>
      <c r="C82" t="s">
        <v>1072</v>
      </c>
      <c r="D82">
        <v>1</v>
      </c>
      <c r="E82">
        <v>794.19</v>
      </c>
      <c r="F82">
        <v>794.19</v>
      </c>
      <c r="G82" t="str">
        <f t="shared" si="1"/>
        <v>October</v>
      </c>
      <c r="H82" s="1">
        <v>45594</v>
      </c>
      <c r="I82" t="s">
        <v>1095</v>
      </c>
      <c r="J82" t="s">
        <v>1082</v>
      </c>
    </row>
    <row r="83" spans="1:10" x14ac:dyDescent="0.3">
      <c r="A83" t="s">
        <v>1171</v>
      </c>
      <c r="B83" t="s">
        <v>1002</v>
      </c>
      <c r="C83" t="s">
        <v>1106</v>
      </c>
      <c r="D83">
        <v>4</v>
      </c>
      <c r="E83">
        <v>128.71</v>
      </c>
      <c r="F83">
        <v>514.84</v>
      </c>
      <c r="G83" t="str">
        <f t="shared" si="1"/>
        <v>December</v>
      </c>
      <c r="H83" s="1">
        <v>44561</v>
      </c>
      <c r="I83" t="s">
        <v>1089</v>
      </c>
      <c r="J83" t="s">
        <v>1093</v>
      </c>
    </row>
    <row r="84" spans="1:10" x14ac:dyDescent="0.3">
      <c r="A84" t="s">
        <v>1172</v>
      </c>
      <c r="B84" t="s">
        <v>1044</v>
      </c>
      <c r="C84" t="s">
        <v>1091</v>
      </c>
      <c r="D84">
        <v>4</v>
      </c>
      <c r="E84">
        <v>87.43</v>
      </c>
      <c r="F84">
        <v>349.72</v>
      </c>
      <c r="G84" t="str">
        <f t="shared" si="1"/>
        <v>December</v>
      </c>
      <c r="H84" s="1">
        <v>45645</v>
      </c>
      <c r="I84" t="s">
        <v>1073</v>
      </c>
      <c r="J84" t="s">
        <v>1093</v>
      </c>
    </row>
    <row r="85" spans="1:10" x14ac:dyDescent="0.3">
      <c r="A85" t="s">
        <v>1173</v>
      </c>
      <c r="B85" t="s">
        <v>478</v>
      </c>
      <c r="C85" t="s">
        <v>1081</v>
      </c>
      <c r="D85">
        <v>5</v>
      </c>
      <c r="E85">
        <v>745.64</v>
      </c>
      <c r="F85">
        <v>3728.2</v>
      </c>
      <c r="G85" t="str">
        <f t="shared" si="1"/>
        <v>April</v>
      </c>
      <c r="H85" s="1">
        <v>45753</v>
      </c>
      <c r="I85" t="s">
        <v>1089</v>
      </c>
      <c r="J85" t="s">
        <v>1079</v>
      </c>
    </row>
    <row r="86" spans="1:10" x14ac:dyDescent="0.3">
      <c r="A86" t="s">
        <v>1174</v>
      </c>
      <c r="B86" t="s">
        <v>153</v>
      </c>
      <c r="C86" t="s">
        <v>5</v>
      </c>
      <c r="D86">
        <v>1</v>
      </c>
      <c r="E86">
        <v>994.56</v>
      </c>
      <c r="F86">
        <v>994.56</v>
      </c>
      <c r="G86" t="str">
        <f t="shared" si="1"/>
        <v>November</v>
      </c>
      <c r="H86" s="1">
        <v>45254</v>
      </c>
      <c r="I86" t="s">
        <v>1073</v>
      </c>
      <c r="J86" t="s">
        <v>1082</v>
      </c>
    </row>
    <row r="87" spans="1:10" x14ac:dyDescent="0.3">
      <c r="A87" t="s">
        <v>1175</v>
      </c>
      <c r="B87" t="s">
        <v>674</v>
      </c>
      <c r="C87" t="s">
        <v>1106</v>
      </c>
      <c r="D87">
        <v>5</v>
      </c>
      <c r="E87">
        <v>1339.84</v>
      </c>
      <c r="F87">
        <v>6699.2</v>
      </c>
      <c r="G87" t="str">
        <f t="shared" si="1"/>
        <v>November</v>
      </c>
      <c r="H87" s="1">
        <v>45972</v>
      </c>
      <c r="I87" t="s">
        <v>1095</v>
      </c>
      <c r="J87" t="s">
        <v>1093</v>
      </c>
    </row>
    <row r="88" spans="1:10" x14ac:dyDescent="0.3">
      <c r="A88" t="s">
        <v>1176</v>
      </c>
      <c r="B88" t="s">
        <v>90</v>
      </c>
      <c r="C88" t="s">
        <v>5</v>
      </c>
      <c r="D88">
        <v>1</v>
      </c>
      <c r="E88">
        <v>47.93</v>
      </c>
      <c r="F88">
        <v>47.93</v>
      </c>
      <c r="G88" t="str">
        <f t="shared" si="1"/>
        <v>November</v>
      </c>
      <c r="H88" s="1">
        <v>44890</v>
      </c>
      <c r="I88" t="s">
        <v>1089</v>
      </c>
      <c r="J88" t="s">
        <v>1079</v>
      </c>
    </row>
    <row r="89" spans="1:10" x14ac:dyDescent="0.3">
      <c r="A89" t="s">
        <v>1177</v>
      </c>
      <c r="B89" t="s">
        <v>643</v>
      </c>
      <c r="C89" t="s">
        <v>1097</v>
      </c>
      <c r="D89">
        <v>1</v>
      </c>
      <c r="E89">
        <v>1144.49</v>
      </c>
      <c r="F89">
        <v>1144.49</v>
      </c>
      <c r="G89" t="str">
        <f t="shared" si="1"/>
        <v>September</v>
      </c>
      <c r="H89" s="1">
        <v>44078</v>
      </c>
      <c r="I89" t="s">
        <v>1095</v>
      </c>
      <c r="J89" t="s">
        <v>1082</v>
      </c>
    </row>
    <row r="90" spans="1:10" x14ac:dyDescent="0.3">
      <c r="A90" t="s">
        <v>1178</v>
      </c>
      <c r="B90" t="s">
        <v>852</v>
      </c>
      <c r="C90" t="s">
        <v>5</v>
      </c>
      <c r="D90">
        <v>4</v>
      </c>
      <c r="E90">
        <v>697.19</v>
      </c>
      <c r="F90">
        <v>2788.76</v>
      </c>
      <c r="G90" t="str">
        <f t="shared" si="1"/>
        <v>November</v>
      </c>
      <c r="H90" s="1">
        <v>44891</v>
      </c>
      <c r="I90" t="s">
        <v>1077</v>
      </c>
      <c r="J90" t="s">
        <v>1084</v>
      </c>
    </row>
    <row r="91" spans="1:10" x14ac:dyDescent="0.3">
      <c r="A91" t="s">
        <v>1179</v>
      </c>
      <c r="B91" t="s">
        <v>90</v>
      </c>
      <c r="C91" t="s">
        <v>1129</v>
      </c>
      <c r="D91">
        <v>3</v>
      </c>
      <c r="E91">
        <v>298.08</v>
      </c>
      <c r="F91">
        <v>894.24</v>
      </c>
      <c r="G91" t="str">
        <f t="shared" si="1"/>
        <v>January</v>
      </c>
      <c r="H91" s="1">
        <v>43473</v>
      </c>
      <c r="I91" t="s">
        <v>1077</v>
      </c>
      <c r="J91" t="s">
        <v>1074</v>
      </c>
    </row>
    <row r="92" spans="1:10" x14ac:dyDescent="0.3">
      <c r="A92" t="s">
        <v>1180</v>
      </c>
      <c r="B92" t="s">
        <v>478</v>
      </c>
      <c r="C92" t="s">
        <v>1072</v>
      </c>
      <c r="D92">
        <v>4</v>
      </c>
      <c r="E92">
        <v>1590.24</v>
      </c>
      <c r="F92">
        <v>6360.96</v>
      </c>
      <c r="G92" t="str">
        <f t="shared" si="1"/>
        <v>March</v>
      </c>
      <c r="H92" s="1">
        <v>44278</v>
      </c>
      <c r="I92" t="s">
        <v>1077</v>
      </c>
      <c r="J92" t="s">
        <v>1082</v>
      </c>
    </row>
    <row r="93" spans="1:10" x14ac:dyDescent="0.3">
      <c r="A93" t="s">
        <v>1181</v>
      </c>
      <c r="B93" t="s">
        <v>595</v>
      </c>
      <c r="C93" t="s">
        <v>1091</v>
      </c>
      <c r="D93">
        <v>5</v>
      </c>
      <c r="E93">
        <v>1831.28</v>
      </c>
      <c r="F93">
        <v>9156.4</v>
      </c>
      <c r="G93" t="str">
        <f t="shared" si="1"/>
        <v>December</v>
      </c>
      <c r="H93" s="1">
        <v>45636</v>
      </c>
      <c r="I93" t="s">
        <v>1095</v>
      </c>
      <c r="J93" t="s">
        <v>1074</v>
      </c>
    </row>
    <row r="94" spans="1:10" x14ac:dyDescent="0.3">
      <c r="A94" t="s">
        <v>1182</v>
      </c>
      <c r="B94" t="s">
        <v>1029</v>
      </c>
      <c r="C94" t="s">
        <v>1081</v>
      </c>
      <c r="D94">
        <v>5</v>
      </c>
      <c r="E94">
        <v>538.11</v>
      </c>
      <c r="F94">
        <v>2690.55</v>
      </c>
      <c r="G94" t="str">
        <f t="shared" si="1"/>
        <v>September</v>
      </c>
      <c r="H94" s="1">
        <v>44828</v>
      </c>
      <c r="I94" t="s">
        <v>1089</v>
      </c>
      <c r="J94" t="s">
        <v>1093</v>
      </c>
    </row>
    <row r="95" spans="1:10" x14ac:dyDescent="0.3">
      <c r="A95" t="s">
        <v>1183</v>
      </c>
      <c r="B95" t="s">
        <v>433</v>
      </c>
      <c r="C95" t="s">
        <v>1097</v>
      </c>
      <c r="D95">
        <v>1</v>
      </c>
      <c r="E95">
        <v>1481.67</v>
      </c>
      <c r="F95">
        <v>1481.67</v>
      </c>
      <c r="G95" t="str">
        <f t="shared" si="1"/>
        <v>November</v>
      </c>
      <c r="H95" s="1">
        <v>45251</v>
      </c>
      <c r="I95" t="s">
        <v>1073</v>
      </c>
      <c r="J95" t="s">
        <v>1082</v>
      </c>
    </row>
    <row r="96" spans="1:10" x14ac:dyDescent="0.3">
      <c r="A96" t="s">
        <v>1184</v>
      </c>
      <c r="B96" t="s">
        <v>499</v>
      </c>
      <c r="C96" t="s">
        <v>1135</v>
      </c>
      <c r="D96">
        <v>1</v>
      </c>
      <c r="E96">
        <v>694.99</v>
      </c>
      <c r="F96">
        <v>694.99</v>
      </c>
      <c r="G96" t="str">
        <f t="shared" si="1"/>
        <v>April</v>
      </c>
      <c r="H96" s="1">
        <v>44657</v>
      </c>
      <c r="I96" t="s">
        <v>1089</v>
      </c>
      <c r="J96" t="s">
        <v>1093</v>
      </c>
    </row>
    <row r="97" spans="1:10" x14ac:dyDescent="0.3">
      <c r="A97" t="s">
        <v>1185</v>
      </c>
      <c r="B97" t="s">
        <v>524</v>
      </c>
      <c r="C97" t="s">
        <v>1129</v>
      </c>
      <c r="D97">
        <v>4</v>
      </c>
      <c r="E97">
        <v>1696.92</v>
      </c>
      <c r="F97">
        <v>6787.68</v>
      </c>
      <c r="G97" t="str">
        <f t="shared" si="1"/>
        <v>November</v>
      </c>
      <c r="H97" s="1">
        <v>43789</v>
      </c>
      <c r="I97" t="s">
        <v>1077</v>
      </c>
      <c r="J97" t="s">
        <v>1093</v>
      </c>
    </row>
    <row r="98" spans="1:10" x14ac:dyDescent="0.3">
      <c r="A98" t="s">
        <v>1186</v>
      </c>
      <c r="B98" t="s">
        <v>903</v>
      </c>
      <c r="C98" t="s">
        <v>1109</v>
      </c>
      <c r="D98">
        <v>4</v>
      </c>
      <c r="E98">
        <v>1628.41</v>
      </c>
      <c r="F98">
        <v>6513.64</v>
      </c>
      <c r="G98" t="str">
        <f t="shared" si="1"/>
        <v>November</v>
      </c>
      <c r="H98" s="1">
        <v>44138</v>
      </c>
      <c r="I98" t="s">
        <v>1089</v>
      </c>
      <c r="J98" t="s">
        <v>1084</v>
      </c>
    </row>
    <row r="99" spans="1:10" x14ac:dyDescent="0.3">
      <c r="A99" t="s">
        <v>1187</v>
      </c>
      <c r="B99" t="s">
        <v>807</v>
      </c>
      <c r="C99" t="s">
        <v>1072</v>
      </c>
      <c r="D99">
        <v>5</v>
      </c>
      <c r="E99">
        <v>684.26</v>
      </c>
      <c r="F99">
        <v>3421.3</v>
      </c>
      <c r="G99" t="str">
        <f t="shared" si="1"/>
        <v>October</v>
      </c>
      <c r="H99" s="1">
        <v>45940</v>
      </c>
      <c r="I99" t="s">
        <v>1089</v>
      </c>
      <c r="J99" t="s">
        <v>1074</v>
      </c>
    </row>
    <row r="100" spans="1:10" x14ac:dyDescent="0.3">
      <c r="A100" t="s">
        <v>1188</v>
      </c>
      <c r="B100" t="s">
        <v>407</v>
      </c>
      <c r="C100" t="s">
        <v>1097</v>
      </c>
      <c r="D100">
        <v>3</v>
      </c>
      <c r="E100">
        <v>1612.56</v>
      </c>
      <c r="F100">
        <v>4837.68</v>
      </c>
      <c r="G100" t="str">
        <f t="shared" si="1"/>
        <v>December</v>
      </c>
      <c r="H100" s="1">
        <v>43808</v>
      </c>
      <c r="I100" t="s">
        <v>1095</v>
      </c>
      <c r="J100" t="s">
        <v>1093</v>
      </c>
    </row>
    <row r="101" spans="1:10" x14ac:dyDescent="0.3">
      <c r="A101" t="s">
        <v>1189</v>
      </c>
      <c r="B101" t="s">
        <v>889</v>
      </c>
      <c r="C101" t="s">
        <v>1097</v>
      </c>
      <c r="D101">
        <v>3</v>
      </c>
      <c r="E101">
        <v>144.07</v>
      </c>
      <c r="F101">
        <v>432.21</v>
      </c>
      <c r="G101" t="str">
        <f t="shared" si="1"/>
        <v>December</v>
      </c>
      <c r="H101" s="1">
        <v>44550</v>
      </c>
      <c r="I101" t="s">
        <v>1089</v>
      </c>
      <c r="J101" t="s">
        <v>1074</v>
      </c>
    </row>
    <row r="102" spans="1:10" x14ac:dyDescent="0.3">
      <c r="A102" t="s">
        <v>1190</v>
      </c>
      <c r="B102" t="s">
        <v>584</v>
      </c>
      <c r="C102" t="s">
        <v>1109</v>
      </c>
      <c r="D102">
        <v>5</v>
      </c>
      <c r="E102">
        <v>390.13</v>
      </c>
      <c r="F102">
        <v>1950.65</v>
      </c>
      <c r="G102" t="str">
        <f t="shared" si="1"/>
        <v>October</v>
      </c>
      <c r="H102" s="1">
        <v>44850</v>
      </c>
      <c r="I102" t="s">
        <v>1073</v>
      </c>
      <c r="J102" t="s">
        <v>1082</v>
      </c>
    </row>
    <row r="103" spans="1:10" x14ac:dyDescent="0.3">
      <c r="A103" t="s">
        <v>1191</v>
      </c>
      <c r="B103" t="s">
        <v>387</v>
      </c>
      <c r="C103" t="s">
        <v>5</v>
      </c>
      <c r="D103">
        <v>5</v>
      </c>
      <c r="E103">
        <v>1493.1</v>
      </c>
      <c r="F103">
        <v>7465.5</v>
      </c>
      <c r="G103" t="str">
        <f t="shared" si="1"/>
        <v>February</v>
      </c>
      <c r="H103" s="1">
        <v>45327</v>
      </c>
      <c r="I103" t="s">
        <v>1073</v>
      </c>
      <c r="J103" t="s">
        <v>1084</v>
      </c>
    </row>
    <row r="104" spans="1:10" x14ac:dyDescent="0.3">
      <c r="A104" t="s">
        <v>1192</v>
      </c>
      <c r="B104" t="s">
        <v>55</v>
      </c>
      <c r="C104" t="s">
        <v>1072</v>
      </c>
      <c r="D104">
        <v>5</v>
      </c>
      <c r="E104">
        <v>1140.1600000000001</v>
      </c>
      <c r="F104">
        <v>5700.8</v>
      </c>
      <c r="G104" t="str">
        <f t="shared" si="1"/>
        <v>August</v>
      </c>
      <c r="H104" s="1">
        <v>44784</v>
      </c>
      <c r="I104" t="s">
        <v>1089</v>
      </c>
      <c r="J104" t="s">
        <v>1079</v>
      </c>
    </row>
    <row r="105" spans="1:10" x14ac:dyDescent="0.3">
      <c r="A105" t="s">
        <v>1193</v>
      </c>
      <c r="B105" t="s">
        <v>356</v>
      </c>
      <c r="C105" t="s">
        <v>1106</v>
      </c>
      <c r="D105">
        <v>3</v>
      </c>
      <c r="E105">
        <v>555.25</v>
      </c>
      <c r="F105">
        <v>1665.75</v>
      </c>
      <c r="G105" t="str">
        <f t="shared" si="1"/>
        <v>March</v>
      </c>
      <c r="H105" s="1">
        <v>44267</v>
      </c>
      <c r="I105" t="s">
        <v>1087</v>
      </c>
      <c r="J105" t="s">
        <v>1079</v>
      </c>
    </row>
    <row r="106" spans="1:10" x14ac:dyDescent="0.3">
      <c r="A106" t="s">
        <v>1194</v>
      </c>
      <c r="B106" t="s">
        <v>286</v>
      </c>
      <c r="C106" t="s">
        <v>1097</v>
      </c>
      <c r="D106">
        <v>3</v>
      </c>
      <c r="E106">
        <v>1671.37</v>
      </c>
      <c r="F106">
        <v>5014.1099999999997</v>
      </c>
      <c r="G106" t="str">
        <f t="shared" si="1"/>
        <v>December</v>
      </c>
      <c r="H106" s="1">
        <v>44534</v>
      </c>
      <c r="I106" t="s">
        <v>1087</v>
      </c>
      <c r="J106" t="s">
        <v>1084</v>
      </c>
    </row>
    <row r="107" spans="1:10" x14ac:dyDescent="0.3">
      <c r="A107" t="s">
        <v>1195</v>
      </c>
      <c r="B107" t="s">
        <v>494</v>
      </c>
      <c r="C107" t="s">
        <v>1097</v>
      </c>
      <c r="D107">
        <v>1</v>
      </c>
      <c r="E107">
        <v>1530.07</v>
      </c>
      <c r="F107">
        <v>1530.07</v>
      </c>
      <c r="G107" t="str">
        <f t="shared" si="1"/>
        <v>May</v>
      </c>
      <c r="H107" s="1">
        <v>44708</v>
      </c>
      <c r="I107" t="s">
        <v>1089</v>
      </c>
      <c r="J107" t="s">
        <v>1074</v>
      </c>
    </row>
    <row r="108" spans="1:10" x14ac:dyDescent="0.3">
      <c r="A108" t="s">
        <v>1196</v>
      </c>
      <c r="B108" t="s">
        <v>652</v>
      </c>
      <c r="C108" t="s">
        <v>1129</v>
      </c>
      <c r="D108">
        <v>4</v>
      </c>
      <c r="E108">
        <v>285.88</v>
      </c>
      <c r="F108">
        <v>1143.52</v>
      </c>
      <c r="G108" t="str">
        <f t="shared" si="1"/>
        <v>October</v>
      </c>
      <c r="H108" s="1">
        <v>44844</v>
      </c>
      <c r="I108" t="s">
        <v>1089</v>
      </c>
      <c r="J108" t="s">
        <v>1082</v>
      </c>
    </row>
    <row r="109" spans="1:10" x14ac:dyDescent="0.3">
      <c r="A109" t="s">
        <v>1197</v>
      </c>
      <c r="B109" t="s">
        <v>744</v>
      </c>
      <c r="C109" t="s">
        <v>1129</v>
      </c>
      <c r="D109">
        <v>3</v>
      </c>
      <c r="E109">
        <v>1699.8</v>
      </c>
      <c r="F109">
        <v>5099.3999999999996</v>
      </c>
      <c r="G109" t="str">
        <f t="shared" si="1"/>
        <v>February</v>
      </c>
      <c r="H109" s="1">
        <v>43886</v>
      </c>
      <c r="I109" t="s">
        <v>1089</v>
      </c>
      <c r="J109" t="s">
        <v>1074</v>
      </c>
    </row>
    <row r="110" spans="1:10" x14ac:dyDescent="0.3">
      <c r="A110" t="s">
        <v>1198</v>
      </c>
      <c r="B110" t="s">
        <v>679</v>
      </c>
      <c r="C110" t="s">
        <v>1097</v>
      </c>
      <c r="D110">
        <v>3</v>
      </c>
      <c r="E110">
        <v>630.92999999999995</v>
      </c>
      <c r="F110">
        <v>1892.79</v>
      </c>
      <c r="G110" t="str">
        <f t="shared" si="1"/>
        <v>September</v>
      </c>
      <c r="H110" s="1">
        <v>45561</v>
      </c>
      <c r="I110" t="s">
        <v>1077</v>
      </c>
      <c r="J110" t="s">
        <v>1093</v>
      </c>
    </row>
    <row r="111" spans="1:10" x14ac:dyDescent="0.3">
      <c r="A111" t="s">
        <v>1199</v>
      </c>
      <c r="B111" t="s">
        <v>717</v>
      </c>
      <c r="C111" t="s">
        <v>1072</v>
      </c>
      <c r="D111">
        <v>3</v>
      </c>
      <c r="E111">
        <v>1948.51</v>
      </c>
      <c r="F111">
        <v>5845.53</v>
      </c>
      <c r="G111" t="str">
        <f t="shared" si="1"/>
        <v>December</v>
      </c>
      <c r="H111" s="1">
        <v>44167</v>
      </c>
      <c r="I111" t="s">
        <v>1077</v>
      </c>
      <c r="J111" t="s">
        <v>1082</v>
      </c>
    </row>
    <row r="112" spans="1:10" x14ac:dyDescent="0.3">
      <c r="A112" t="s">
        <v>1200</v>
      </c>
      <c r="B112" t="s">
        <v>634</v>
      </c>
      <c r="C112" t="s">
        <v>1106</v>
      </c>
      <c r="D112">
        <v>3</v>
      </c>
      <c r="E112">
        <v>1270.96</v>
      </c>
      <c r="F112">
        <v>3812.88</v>
      </c>
      <c r="G112" t="str">
        <f t="shared" si="1"/>
        <v>July</v>
      </c>
      <c r="H112" s="1">
        <v>45112</v>
      </c>
      <c r="I112" t="s">
        <v>1095</v>
      </c>
      <c r="J112" t="s">
        <v>1079</v>
      </c>
    </row>
    <row r="113" spans="1:10" x14ac:dyDescent="0.3">
      <c r="A113" t="s">
        <v>1201</v>
      </c>
      <c r="B113" t="s">
        <v>509</v>
      </c>
      <c r="C113" t="s">
        <v>1109</v>
      </c>
      <c r="D113">
        <v>2</v>
      </c>
      <c r="E113">
        <v>1033.8</v>
      </c>
      <c r="F113">
        <v>2067.6</v>
      </c>
      <c r="G113" t="str">
        <f t="shared" si="1"/>
        <v>August</v>
      </c>
      <c r="H113" s="1">
        <v>45874</v>
      </c>
      <c r="I113" t="s">
        <v>1087</v>
      </c>
      <c r="J113" t="s">
        <v>1079</v>
      </c>
    </row>
    <row r="114" spans="1:10" x14ac:dyDescent="0.3">
      <c r="A114" t="s">
        <v>1202</v>
      </c>
      <c r="B114" t="s">
        <v>903</v>
      </c>
      <c r="C114" t="s">
        <v>1135</v>
      </c>
      <c r="D114">
        <v>1</v>
      </c>
      <c r="E114">
        <v>1846.48</v>
      </c>
      <c r="F114">
        <v>1846.48</v>
      </c>
      <c r="G114" t="str">
        <f t="shared" si="1"/>
        <v>July</v>
      </c>
      <c r="H114" s="1">
        <v>45498</v>
      </c>
      <c r="I114" t="s">
        <v>1073</v>
      </c>
      <c r="J114" t="s">
        <v>1082</v>
      </c>
    </row>
    <row r="115" spans="1:10" x14ac:dyDescent="0.3">
      <c r="A115" t="s">
        <v>1203</v>
      </c>
      <c r="B115" t="s">
        <v>121</v>
      </c>
      <c r="C115" t="s">
        <v>1109</v>
      </c>
      <c r="D115">
        <v>1</v>
      </c>
      <c r="E115">
        <v>485.27</v>
      </c>
      <c r="F115">
        <v>485.27</v>
      </c>
      <c r="G115" t="str">
        <f t="shared" si="1"/>
        <v>May</v>
      </c>
      <c r="H115" s="1">
        <v>43958</v>
      </c>
      <c r="I115" t="s">
        <v>1077</v>
      </c>
      <c r="J115" t="s">
        <v>1093</v>
      </c>
    </row>
    <row r="116" spans="1:10" x14ac:dyDescent="0.3">
      <c r="A116" t="s">
        <v>1204</v>
      </c>
      <c r="B116" t="s">
        <v>463</v>
      </c>
      <c r="C116" t="s">
        <v>1109</v>
      </c>
      <c r="D116">
        <v>1</v>
      </c>
      <c r="E116">
        <v>1493.31</v>
      </c>
      <c r="F116">
        <v>1493.31</v>
      </c>
      <c r="G116" t="str">
        <f t="shared" si="1"/>
        <v>June</v>
      </c>
      <c r="H116" s="1">
        <v>43631</v>
      </c>
      <c r="I116" t="s">
        <v>1073</v>
      </c>
      <c r="J116" t="s">
        <v>1074</v>
      </c>
    </row>
    <row r="117" spans="1:10" x14ac:dyDescent="0.3">
      <c r="A117" t="s">
        <v>1205</v>
      </c>
      <c r="B117" t="s">
        <v>1015</v>
      </c>
      <c r="C117" t="s">
        <v>1091</v>
      </c>
      <c r="D117">
        <v>1</v>
      </c>
      <c r="E117">
        <v>689</v>
      </c>
      <c r="F117">
        <v>689</v>
      </c>
      <c r="G117" t="str">
        <f t="shared" si="1"/>
        <v>April</v>
      </c>
      <c r="H117" s="1">
        <v>44679</v>
      </c>
      <c r="I117" t="s">
        <v>1089</v>
      </c>
      <c r="J117" t="s">
        <v>1082</v>
      </c>
    </row>
    <row r="118" spans="1:10" x14ac:dyDescent="0.3">
      <c r="A118" t="s">
        <v>1206</v>
      </c>
      <c r="B118" t="s">
        <v>275</v>
      </c>
      <c r="C118" t="s">
        <v>1097</v>
      </c>
      <c r="D118">
        <v>2</v>
      </c>
      <c r="E118">
        <v>1258.21</v>
      </c>
      <c r="F118">
        <v>2516.42</v>
      </c>
      <c r="G118" t="str">
        <f t="shared" si="1"/>
        <v>August</v>
      </c>
      <c r="H118" s="1">
        <v>44072</v>
      </c>
      <c r="I118" t="s">
        <v>1077</v>
      </c>
      <c r="J118" t="s">
        <v>1074</v>
      </c>
    </row>
    <row r="119" spans="1:10" x14ac:dyDescent="0.3">
      <c r="A119" t="s">
        <v>1207</v>
      </c>
      <c r="B119" t="s">
        <v>956</v>
      </c>
      <c r="C119" t="s">
        <v>1076</v>
      </c>
      <c r="D119">
        <v>1</v>
      </c>
      <c r="E119">
        <v>653.97</v>
      </c>
      <c r="F119">
        <v>653.97</v>
      </c>
      <c r="G119" t="str">
        <f t="shared" si="1"/>
        <v>August</v>
      </c>
      <c r="H119" s="1">
        <v>45880</v>
      </c>
      <c r="I119" t="s">
        <v>1073</v>
      </c>
      <c r="J119" t="s">
        <v>1074</v>
      </c>
    </row>
    <row r="120" spans="1:10" x14ac:dyDescent="0.3">
      <c r="A120" t="s">
        <v>1208</v>
      </c>
      <c r="B120" t="s">
        <v>648</v>
      </c>
      <c r="C120" t="s">
        <v>1091</v>
      </c>
      <c r="D120">
        <v>4</v>
      </c>
      <c r="E120">
        <v>742.97</v>
      </c>
      <c r="F120">
        <v>2971.88</v>
      </c>
      <c r="G120" t="str">
        <f t="shared" si="1"/>
        <v>January</v>
      </c>
      <c r="H120" s="1">
        <v>44206</v>
      </c>
      <c r="I120" t="s">
        <v>1095</v>
      </c>
      <c r="J120" t="s">
        <v>1093</v>
      </c>
    </row>
    <row r="121" spans="1:10" x14ac:dyDescent="0.3">
      <c r="A121" t="s">
        <v>1209</v>
      </c>
      <c r="B121" t="s">
        <v>65</v>
      </c>
      <c r="C121" t="s">
        <v>5</v>
      </c>
      <c r="D121">
        <v>3</v>
      </c>
      <c r="E121">
        <v>1527.55</v>
      </c>
      <c r="F121">
        <v>4582.6499999999996</v>
      </c>
      <c r="G121" t="str">
        <f t="shared" si="1"/>
        <v>April</v>
      </c>
      <c r="H121" s="1">
        <v>43559</v>
      </c>
      <c r="I121" t="s">
        <v>1073</v>
      </c>
      <c r="J121" t="s">
        <v>1093</v>
      </c>
    </row>
    <row r="122" spans="1:10" x14ac:dyDescent="0.3">
      <c r="A122" t="s">
        <v>1210</v>
      </c>
      <c r="B122" t="s">
        <v>870</v>
      </c>
      <c r="C122" t="s">
        <v>5</v>
      </c>
      <c r="D122">
        <v>2</v>
      </c>
      <c r="E122">
        <v>346.94</v>
      </c>
      <c r="F122">
        <v>693.88</v>
      </c>
      <c r="G122" t="str">
        <f t="shared" si="1"/>
        <v>April</v>
      </c>
      <c r="H122" s="1">
        <v>45751</v>
      </c>
      <c r="I122" t="s">
        <v>1073</v>
      </c>
      <c r="J122" t="s">
        <v>1084</v>
      </c>
    </row>
    <row r="123" spans="1:10" x14ac:dyDescent="0.3">
      <c r="A123" t="s">
        <v>1211</v>
      </c>
      <c r="B123" t="s">
        <v>341</v>
      </c>
      <c r="C123" t="s">
        <v>1097</v>
      </c>
      <c r="D123">
        <v>2</v>
      </c>
      <c r="E123">
        <v>1919</v>
      </c>
      <c r="F123">
        <v>3838</v>
      </c>
      <c r="G123" t="str">
        <f t="shared" si="1"/>
        <v>February</v>
      </c>
      <c r="H123" s="1">
        <v>44981</v>
      </c>
      <c r="I123" t="s">
        <v>1087</v>
      </c>
      <c r="J123" t="s">
        <v>1082</v>
      </c>
    </row>
    <row r="124" spans="1:10" x14ac:dyDescent="0.3">
      <c r="A124" t="s">
        <v>1212</v>
      </c>
      <c r="B124" t="s">
        <v>1024</v>
      </c>
      <c r="C124" t="s">
        <v>1076</v>
      </c>
      <c r="D124">
        <v>3</v>
      </c>
      <c r="E124">
        <v>1341.43</v>
      </c>
      <c r="F124">
        <v>4024.29</v>
      </c>
      <c r="G124" t="str">
        <f t="shared" si="1"/>
        <v>January</v>
      </c>
      <c r="H124" s="1">
        <v>44207</v>
      </c>
      <c r="I124" t="s">
        <v>1089</v>
      </c>
      <c r="J124" t="s">
        <v>1084</v>
      </c>
    </row>
    <row r="125" spans="1:10" x14ac:dyDescent="0.3">
      <c r="A125" t="s">
        <v>1213</v>
      </c>
      <c r="B125" t="s">
        <v>971</v>
      </c>
      <c r="C125" t="s">
        <v>1091</v>
      </c>
      <c r="D125">
        <v>2</v>
      </c>
      <c r="E125">
        <v>915.57</v>
      </c>
      <c r="F125">
        <v>1831.14</v>
      </c>
      <c r="G125" t="str">
        <f t="shared" si="1"/>
        <v>July</v>
      </c>
      <c r="H125" s="1">
        <v>43663</v>
      </c>
      <c r="I125" t="s">
        <v>1089</v>
      </c>
      <c r="J125" t="s">
        <v>1079</v>
      </c>
    </row>
    <row r="126" spans="1:10" x14ac:dyDescent="0.3">
      <c r="A126" t="s">
        <v>1214</v>
      </c>
      <c r="B126" t="s">
        <v>817</v>
      </c>
      <c r="C126" t="s">
        <v>1081</v>
      </c>
      <c r="D126">
        <v>5</v>
      </c>
      <c r="E126">
        <v>1418.43</v>
      </c>
      <c r="F126">
        <v>7092.15</v>
      </c>
      <c r="G126" t="str">
        <f t="shared" si="1"/>
        <v>February</v>
      </c>
      <c r="H126" s="1">
        <v>44611</v>
      </c>
      <c r="I126" t="s">
        <v>1095</v>
      </c>
      <c r="J126" t="s">
        <v>1082</v>
      </c>
    </row>
    <row r="127" spans="1:10" x14ac:dyDescent="0.3">
      <c r="A127" t="s">
        <v>1215</v>
      </c>
      <c r="B127" t="s">
        <v>830</v>
      </c>
      <c r="C127" t="s">
        <v>1109</v>
      </c>
      <c r="D127">
        <v>3</v>
      </c>
      <c r="E127">
        <v>157.4</v>
      </c>
      <c r="F127">
        <v>472.2</v>
      </c>
      <c r="G127" t="str">
        <f t="shared" si="1"/>
        <v>September</v>
      </c>
      <c r="H127" s="1">
        <v>45561</v>
      </c>
      <c r="I127" t="s">
        <v>1087</v>
      </c>
      <c r="J127" t="s">
        <v>1093</v>
      </c>
    </row>
    <row r="128" spans="1:10" x14ac:dyDescent="0.3">
      <c r="A128" t="s">
        <v>1216</v>
      </c>
      <c r="B128" t="s">
        <v>689</v>
      </c>
      <c r="C128" t="s">
        <v>1097</v>
      </c>
      <c r="D128">
        <v>2</v>
      </c>
      <c r="E128">
        <v>1545.25</v>
      </c>
      <c r="F128">
        <v>3090.5</v>
      </c>
      <c r="G128" t="str">
        <f t="shared" si="1"/>
        <v>January</v>
      </c>
      <c r="H128" s="1">
        <v>44579</v>
      </c>
      <c r="I128" t="s">
        <v>1089</v>
      </c>
      <c r="J128" t="s">
        <v>1074</v>
      </c>
    </row>
    <row r="129" spans="1:10" x14ac:dyDescent="0.3">
      <c r="A129" t="s">
        <v>1217</v>
      </c>
      <c r="B129" t="s">
        <v>559</v>
      </c>
      <c r="C129" t="s">
        <v>1097</v>
      </c>
      <c r="D129">
        <v>3</v>
      </c>
      <c r="E129">
        <v>89.62</v>
      </c>
      <c r="F129">
        <v>268.86</v>
      </c>
      <c r="G129" t="str">
        <f t="shared" si="1"/>
        <v>December</v>
      </c>
      <c r="H129" s="1">
        <v>45652</v>
      </c>
      <c r="I129" t="s">
        <v>1087</v>
      </c>
      <c r="J129" t="s">
        <v>1079</v>
      </c>
    </row>
    <row r="130" spans="1:10" x14ac:dyDescent="0.3">
      <c r="A130" t="s">
        <v>1218</v>
      </c>
      <c r="B130" t="s">
        <v>589</v>
      </c>
      <c r="C130" t="s">
        <v>1072</v>
      </c>
      <c r="D130">
        <v>2</v>
      </c>
      <c r="E130">
        <v>110.22</v>
      </c>
      <c r="F130">
        <v>220.44</v>
      </c>
      <c r="G130" t="str">
        <f t="shared" si="1"/>
        <v>January</v>
      </c>
      <c r="H130" s="1">
        <v>44199</v>
      </c>
      <c r="I130" t="s">
        <v>1087</v>
      </c>
      <c r="J130" t="s">
        <v>1074</v>
      </c>
    </row>
    <row r="131" spans="1:10" x14ac:dyDescent="0.3">
      <c r="A131" t="s">
        <v>1219</v>
      </c>
      <c r="B131" t="s">
        <v>763</v>
      </c>
      <c r="C131" t="s">
        <v>5</v>
      </c>
      <c r="D131">
        <v>2</v>
      </c>
      <c r="E131">
        <v>439.38</v>
      </c>
      <c r="F131">
        <v>878.76</v>
      </c>
      <c r="G131" t="str">
        <f t="shared" ref="G131:G194" si="2">TEXT(H131,"mmmm")</f>
        <v>December</v>
      </c>
      <c r="H131" s="1">
        <v>45263</v>
      </c>
      <c r="I131" t="s">
        <v>1089</v>
      </c>
      <c r="J131" t="s">
        <v>1084</v>
      </c>
    </row>
    <row r="132" spans="1:10" x14ac:dyDescent="0.3">
      <c r="A132" t="s">
        <v>1220</v>
      </c>
      <c r="B132" t="s">
        <v>763</v>
      </c>
      <c r="C132" t="s">
        <v>1097</v>
      </c>
      <c r="D132">
        <v>5</v>
      </c>
      <c r="E132">
        <v>1996.1</v>
      </c>
      <c r="F132">
        <v>9980.5</v>
      </c>
      <c r="G132" t="str">
        <f t="shared" si="2"/>
        <v>May</v>
      </c>
      <c r="H132" s="1">
        <v>44329</v>
      </c>
      <c r="I132" t="s">
        <v>1089</v>
      </c>
      <c r="J132" t="s">
        <v>1093</v>
      </c>
    </row>
    <row r="133" spans="1:10" x14ac:dyDescent="0.3">
      <c r="A133" t="s">
        <v>1221</v>
      </c>
      <c r="B133" t="s">
        <v>27</v>
      </c>
      <c r="C133" t="s">
        <v>1091</v>
      </c>
      <c r="D133">
        <v>3</v>
      </c>
      <c r="E133">
        <v>922.93</v>
      </c>
      <c r="F133">
        <v>2768.79</v>
      </c>
      <c r="G133" t="str">
        <f t="shared" si="2"/>
        <v>June</v>
      </c>
      <c r="H133" s="1">
        <v>45092</v>
      </c>
      <c r="I133" t="s">
        <v>1089</v>
      </c>
      <c r="J133" t="s">
        <v>1074</v>
      </c>
    </row>
    <row r="134" spans="1:10" x14ac:dyDescent="0.3">
      <c r="A134" t="s">
        <v>1222</v>
      </c>
      <c r="B134" t="s">
        <v>286</v>
      </c>
      <c r="C134" t="s">
        <v>1072</v>
      </c>
      <c r="D134">
        <v>1</v>
      </c>
      <c r="E134">
        <v>59.78</v>
      </c>
      <c r="F134">
        <v>59.78</v>
      </c>
      <c r="G134" t="str">
        <f t="shared" si="2"/>
        <v>December</v>
      </c>
      <c r="H134" s="1">
        <v>45267</v>
      </c>
      <c r="I134" t="s">
        <v>1077</v>
      </c>
      <c r="J134" t="s">
        <v>1079</v>
      </c>
    </row>
    <row r="135" spans="1:10" x14ac:dyDescent="0.3">
      <c r="A135" t="s">
        <v>1223</v>
      </c>
      <c r="B135" t="s">
        <v>16</v>
      </c>
      <c r="C135" t="s">
        <v>1129</v>
      </c>
      <c r="D135">
        <v>4</v>
      </c>
      <c r="E135">
        <v>345.78</v>
      </c>
      <c r="F135">
        <v>1383.12</v>
      </c>
      <c r="G135" t="str">
        <f t="shared" si="2"/>
        <v>April</v>
      </c>
      <c r="H135" s="1">
        <v>43949</v>
      </c>
      <c r="I135" t="s">
        <v>1077</v>
      </c>
      <c r="J135" t="s">
        <v>1082</v>
      </c>
    </row>
    <row r="136" spans="1:10" x14ac:dyDescent="0.3">
      <c r="A136" t="s">
        <v>1224</v>
      </c>
      <c r="B136" t="s">
        <v>286</v>
      </c>
      <c r="C136" t="s">
        <v>1091</v>
      </c>
      <c r="D136">
        <v>5</v>
      </c>
      <c r="E136">
        <v>520.92999999999995</v>
      </c>
      <c r="F136">
        <v>2604.65</v>
      </c>
      <c r="G136" t="str">
        <f t="shared" si="2"/>
        <v>August</v>
      </c>
      <c r="H136" s="1">
        <v>44060</v>
      </c>
      <c r="I136" t="s">
        <v>1077</v>
      </c>
      <c r="J136" t="s">
        <v>1079</v>
      </c>
    </row>
    <row r="137" spans="1:10" x14ac:dyDescent="0.3">
      <c r="A137" t="s">
        <v>1225</v>
      </c>
      <c r="B137" t="s">
        <v>134</v>
      </c>
      <c r="C137" t="s">
        <v>5</v>
      </c>
      <c r="D137">
        <v>1</v>
      </c>
      <c r="E137">
        <v>1150.55</v>
      </c>
      <c r="F137">
        <v>1150.55</v>
      </c>
      <c r="G137" t="str">
        <f t="shared" si="2"/>
        <v>May</v>
      </c>
      <c r="H137" s="1">
        <v>45425</v>
      </c>
      <c r="I137" t="s">
        <v>1073</v>
      </c>
      <c r="J137" t="s">
        <v>1082</v>
      </c>
    </row>
    <row r="138" spans="1:10" x14ac:dyDescent="0.3">
      <c r="A138" t="s">
        <v>1226</v>
      </c>
      <c r="B138" t="s">
        <v>1019</v>
      </c>
      <c r="C138" t="s">
        <v>1076</v>
      </c>
      <c r="D138">
        <v>2</v>
      </c>
      <c r="E138">
        <v>849.02</v>
      </c>
      <c r="F138">
        <v>1698.04</v>
      </c>
      <c r="G138" t="str">
        <f t="shared" si="2"/>
        <v>May</v>
      </c>
      <c r="H138" s="1">
        <v>43610</v>
      </c>
      <c r="I138" t="s">
        <v>1089</v>
      </c>
      <c r="J138" t="s">
        <v>1074</v>
      </c>
    </row>
    <row r="139" spans="1:10" x14ac:dyDescent="0.3">
      <c r="A139" t="s">
        <v>1227</v>
      </c>
      <c r="B139" t="s">
        <v>478</v>
      </c>
      <c r="C139" t="s">
        <v>1129</v>
      </c>
      <c r="D139">
        <v>2</v>
      </c>
      <c r="E139">
        <v>926.94</v>
      </c>
      <c r="F139">
        <v>1853.88</v>
      </c>
      <c r="G139" t="str">
        <f t="shared" si="2"/>
        <v>September</v>
      </c>
      <c r="H139" s="1">
        <v>44809</v>
      </c>
      <c r="I139" t="s">
        <v>1095</v>
      </c>
      <c r="J139" t="s">
        <v>1079</v>
      </c>
    </row>
    <row r="140" spans="1:10" x14ac:dyDescent="0.3">
      <c r="A140" t="s">
        <v>1228</v>
      </c>
      <c r="B140" t="s">
        <v>251</v>
      </c>
      <c r="C140" t="s">
        <v>5</v>
      </c>
      <c r="D140">
        <v>1</v>
      </c>
      <c r="E140">
        <v>195.86</v>
      </c>
      <c r="F140">
        <v>195.86</v>
      </c>
      <c r="G140" t="str">
        <f t="shared" si="2"/>
        <v>September</v>
      </c>
      <c r="H140" s="1">
        <v>45925</v>
      </c>
      <c r="I140" t="s">
        <v>1087</v>
      </c>
      <c r="J140" t="s">
        <v>1093</v>
      </c>
    </row>
    <row r="141" spans="1:10" x14ac:dyDescent="0.3">
      <c r="A141" t="s">
        <v>1229</v>
      </c>
      <c r="B141" t="s">
        <v>224</v>
      </c>
      <c r="C141" t="s">
        <v>1135</v>
      </c>
      <c r="D141">
        <v>5</v>
      </c>
      <c r="E141">
        <v>1399.47</v>
      </c>
      <c r="F141">
        <v>6997.35</v>
      </c>
      <c r="G141" t="str">
        <f t="shared" si="2"/>
        <v>October</v>
      </c>
      <c r="H141" s="1">
        <v>44117</v>
      </c>
      <c r="I141" t="s">
        <v>1095</v>
      </c>
      <c r="J141" t="s">
        <v>1084</v>
      </c>
    </row>
    <row r="142" spans="1:10" x14ac:dyDescent="0.3">
      <c r="A142" t="s">
        <v>1230</v>
      </c>
      <c r="B142" t="s">
        <v>564</v>
      </c>
      <c r="C142" t="s">
        <v>1106</v>
      </c>
      <c r="D142">
        <v>4</v>
      </c>
      <c r="E142">
        <v>1742.77</v>
      </c>
      <c r="F142">
        <v>6971.08</v>
      </c>
      <c r="G142" t="str">
        <f t="shared" si="2"/>
        <v>May</v>
      </c>
      <c r="H142" s="1">
        <v>45048</v>
      </c>
      <c r="I142" t="s">
        <v>1087</v>
      </c>
      <c r="J142" t="s">
        <v>1082</v>
      </c>
    </row>
    <row r="143" spans="1:10" x14ac:dyDescent="0.3">
      <c r="A143" t="s">
        <v>1231</v>
      </c>
      <c r="B143" t="s">
        <v>65</v>
      </c>
      <c r="C143" t="s">
        <v>1106</v>
      </c>
      <c r="D143">
        <v>3</v>
      </c>
      <c r="E143">
        <v>494.24</v>
      </c>
      <c r="F143">
        <v>1482.72</v>
      </c>
      <c r="G143" t="str">
        <f t="shared" si="2"/>
        <v>September</v>
      </c>
      <c r="H143" s="1">
        <v>44826</v>
      </c>
      <c r="I143" t="s">
        <v>1089</v>
      </c>
      <c r="J143" t="s">
        <v>1082</v>
      </c>
    </row>
    <row r="144" spans="1:10" x14ac:dyDescent="0.3">
      <c r="A144" t="s">
        <v>1232</v>
      </c>
      <c r="B144" t="s">
        <v>105</v>
      </c>
      <c r="C144" t="s">
        <v>1072</v>
      </c>
      <c r="D144">
        <v>5</v>
      </c>
      <c r="E144">
        <v>827.86</v>
      </c>
      <c r="F144">
        <v>4139.3</v>
      </c>
      <c r="G144" t="str">
        <f t="shared" si="2"/>
        <v>April</v>
      </c>
      <c r="H144" s="1">
        <v>44297</v>
      </c>
      <c r="I144" t="s">
        <v>1087</v>
      </c>
      <c r="J144" t="s">
        <v>1082</v>
      </c>
    </row>
    <row r="145" spans="1:10" x14ac:dyDescent="0.3">
      <c r="A145" t="s">
        <v>1233</v>
      </c>
      <c r="B145" t="s">
        <v>609</v>
      </c>
      <c r="C145" t="s">
        <v>1106</v>
      </c>
      <c r="D145">
        <v>4</v>
      </c>
      <c r="E145">
        <v>1360.11</v>
      </c>
      <c r="F145">
        <v>5440.44</v>
      </c>
      <c r="G145" t="str">
        <f t="shared" si="2"/>
        <v>April</v>
      </c>
      <c r="H145" s="1">
        <v>43940</v>
      </c>
      <c r="I145" t="s">
        <v>1077</v>
      </c>
      <c r="J145" t="s">
        <v>1093</v>
      </c>
    </row>
    <row r="146" spans="1:10" x14ac:dyDescent="0.3">
      <c r="A146" t="s">
        <v>1234</v>
      </c>
      <c r="B146" t="s">
        <v>694</v>
      </c>
      <c r="C146" t="s">
        <v>1076</v>
      </c>
      <c r="D146">
        <v>5</v>
      </c>
      <c r="E146">
        <v>769.56</v>
      </c>
      <c r="F146">
        <v>3847.8</v>
      </c>
      <c r="G146" t="str">
        <f t="shared" si="2"/>
        <v>August</v>
      </c>
      <c r="H146" s="1">
        <v>45518</v>
      </c>
      <c r="I146" t="s">
        <v>1073</v>
      </c>
      <c r="J146" t="s">
        <v>1079</v>
      </c>
    </row>
    <row r="147" spans="1:10" x14ac:dyDescent="0.3">
      <c r="A147" t="s">
        <v>1235</v>
      </c>
      <c r="B147" t="s">
        <v>1044</v>
      </c>
      <c r="C147" t="s">
        <v>1109</v>
      </c>
      <c r="D147">
        <v>4</v>
      </c>
      <c r="E147">
        <v>70.83</v>
      </c>
      <c r="F147">
        <v>283.32</v>
      </c>
      <c r="G147" t="str">
        <f t="shared" si="2"/>
        <v>September</v>
      </c>
      <c r="H147" s="1">
        <v>44806</v>
      </c>
      <c r="I147" t="s">
        <v>1095</v>
      </c>
      <c r="J147" t="s">
        <v>1079</v>
      </c>
    </row>
    <row r="148" spans="1:10" x14ac:dyDescent="0.3">
      <c r="A148" t="s">
        <v>1236</v>
      </c>
      <c r="B148" t="s">
        <v>1049</v>
      </c>
      <c r="C148" t="s">
        <v>1129</v>
      </c>
      <c r="D148">
        <v>3</v>
      </c>
      <c r="E148">
        <v>1876.66</v>
      </c>
      <c r="F148">
        <v>5629.98</v>
      </c>
      <c r="G148" t="str">
        <f t="shared" si="2"/>
        <v>October</v>
      </c>
      <c r="H148" s="1">
        <v>43758</v>
      </c>
      <c r="I148" t="s">
        <v>1089</v>
      </c>
      <c r="J148" t="s">
        <v>1093</v>
      </c>
    </row>
    <row r="149" spans="1:10" x14ac:dyDescent="0.3">
      <c r="A149" t="s">
        <v>1237</v>
      </c>
      <c r="B149" t="s">
        <v>514</v>
      </c>
      <c r="C149" t="s">
        <v>1109</v>
      </c>
      <c r="D149">
        <v>1</v>
      </c>
      <c r="E149">
        <v>1941.2</v>
      </c>
      <c r="F149">
        <v>1941.2</v>
      </c>
      <c r="G149" t="str">
        <f t="shared" si="2"/>
        <v>January</v>
      </c>
      <c r="H149" s="1">
        <v>43856</v>
      </c>
      <c r="I149" t="s">
        <v>1087</v>
      </c>
      <c r="J149" t="s">
        <v>1093</v>
      </c>
    </row>
    <row r="150" spans="1:10" x14ac:dyDescent="0.3">
      <c r="A150" t="s">
        <v>1238</v>
      </c>
      <c r="B150" t="s">
        <v>559</v>
      </c>
      <c r="C150" t="s">
        <v>1097</v>
      </c>
      <c r="D150">
        <v>3</v>
      </c>
      <c r="E150">
        <v>270.49</v>
      </c>
      <c r="F150">
        <v>811.47</v>
      </c>
      <c r="G150" t="str">
        <f t="shared" si="2"/>
        <v>December</v>
      </c>
      <c r="H150" s="1">
        <v>44540</v>
      </c>
      <c r="I150" t="s">
        <v>1087</v>
      </c>
      <c r="J150" t="s">
        <v>1079</v>
      </c>
    </row>
    <row r="151" spans="1:10" x14ac:dyDescent="0.3">
      <c r="A151" t="s">
        <v>1239</v>
      </c>
      <c r="B151" t="s">
        <v>121</v>
      </c>
      <c r="C151" t="s">
        <v>1076</v>
      </c>
      <c r="D151">
        <v>4</v>
      </c>
      <c r="E151">
        <v>325.57</v>
      </c>
      <c r="F151">
        <v>1302.28</v>
      </c>
      <c r="G151" t="str">
        <f t="shared" si="2"/>
        <v>August</v>
      </c>
      <c r="H151" s="1">
        <v>44413</v>
      </c>
      <c r="I151" t="s">
        <v>1087</v>
      </c>
      <c r="J151" t="s">
        <v>1082</v>
      </c>
    </row>
    <row r="152" spans="1:10" x14ac:dyDescent="0.3">
      <c r="A152" t="s">
        <v>1240</v>
      </c>
      <c r="B152" t="s">
        <v>372</v>
      </c>
      <c r="C152" t="s">
        <v>1097</v>
      </c>
      <c r="D152">
        <v>2</v>
      </c>
      <c r="E152">
        <v>756.81</v>
      </c>
      <c r="F152">
        <v>1513.62</v>
      </c>
      <c r="G152" t="str">
        <f t="shared" si="2"/>
        <v>September</v>
      </c>
      <c r="H152" s="1">
        <v>45184</v>
      </c>
      <c r="I152" t="s">
        <v>1095</v>
      </c>
      <c r="J152" t="s">
        <v>1074</v>
      </c>
    </row>
    <row r="153" spans="1:10" x14ac:dyDescent="0.3">
      <c r="A153" t="s">
        <v>1241</v>
      </c>
      <c r="B153" t="s">
        <v>1034</v>
      </c>
      <c r="C153" t="s">
        <v>1076</v>
      </c>
      <c r="D153">
        <v>2</v>
      </c>
      <c r="E153">
        <v>1981.95</v>
      </c>
      <c r="F153">
        <v>3963.9</v>
      </c>
      <c r="G153" t="str">
        <f t="shared" si="2"/>
        <v>December</v>
      </c>
      <c r="H153" s="1">
        <v>44556</v>
      </c>
      <c r="I153" t="s">
        <v>1073</v>
      </c>
      <c r="J153" t="s">
        <v>1079</v>
      </c>
    </row>
    <row r="154" spans="1:10" x14ac:dyDescent="0.3">
      <c r="A154" t="s">
        <v>1242</v>
      </c>
      <c r="B154" t="s">
        <v>338</v>
      </c>
      <c r="C154" t="s">
        <v>1072</v>
      </c>
      <c r="D154">
        <v>3</v>
      </c>
      <c r="E154">
        <v>545.48</v>
      </c>
      <c r="F154">
        <v>1636.44</v>
      </c>
      <c r="G154" t="str">
        <f t="shared" si="2"/>
        <v>September</v>
      </c>
      <c r="H154" s="1">
        <v>45901</v>
      </c>
      <c r="I154" t="s">
        <v>1087</v>
      </c>
      <c r="J154" t="s">
        <v>1074</v>
      </c>
    </row>
    <row r="155" spans="1:10" x14ac:dyDescent="0.3">
      <c r="A155" t="s">
        <v>1243</v>
      </c>
      <c r="B155" t="s">
        <v>609</v>
      </c>
      <c r="C155" t="s">
        <v>1109</v>
      </c>
      <c r="D155">
        <v>5</v>
      </c>
      <c r="E155">
        <v>726</v>
      </c>
      <c r="F155">
        <v>3630</v>
      </c>
      <c r="G155" t="str">
        <f t="shared" si="2"/>
        <v>April</v>
      </c>
      <c r="H155" s="1">
        <v>45040</v>
      </c>
      <c r="I155" t="s">
        <v>1073</v>
      </c>
      <c r="J155" t="s">
        <v>1082</v>
      </c>
    </row>
    <row r="156" spans="1:10" x14ac:dyDescent="0.3">
      <c r="A156" t="s">
        <v>1244</v>
      </c>
      <c r="B156" t="s">
        <v>468</v>
      </c>
      <c r="C156" t="s">
        <v>1109</v>
      </c>
      <c r="D156">
        <v>1</v>
      </c>
      <c r="E156">
        <v>1105.31</v>
      </c>
      <c r="F156">
        <v>1105.31</v>
      </c>
      <c r="G156" t="str">
        <f t="shared" si="2"/>
        <v>July</v>
      </c>
      <c r="H156" s="1">
        <v>45845</v>
      </c>
      <c r="I156" t="s">
        <v>1087</v>
      </c>
      <c r="J156" t="s">
        <v>1082</v>
      </c>
    </row>
    <row r="157" spans="1:10" x14ac:dyDescent="0.3">
      <c r="A157" t="s">
        <v>1245</v>
      </c>
      <c r="B157" t="s">
        <v>579</v>
      </c>
      <c r="C157" t="s">
        <v>1135</v>
      </c>
      <c r="D157">
        <v>3</v>
      </c>
      <c r="E157">
        <v>519.37</v>
      </c>
      <c r="F157">
        <v>1558.11</v>
      </c>
      <c r="G157" t="str">
        <f t="shared" si="2"/>
        <v>September</v>
      </c>
      <c r="H157" s="1">
        <v>44821</v>
      </c>
      <c r="I157" t="s">
        <v>1089</v>
      </c>
      <c r="J157" t="s">
        <v>1082</v>
      </c>
    </row>
    <row r="158" spans="1:10" x14ac:dyDescent="0.3">
      <c r="A158" t="s">
        <v>1246</v>
      </c>
      <c r="B158" t="s">
        <v>839</v>
      </c>
      <c r="C158" t="s">
        <v>1076</v>
      </c>
      <c r="D158">
        <v>3</v>
      </c>
      <c r="E158">
        <v>519.52</v>
      </c>
      <c r="F158">
        <v>1558.56</v>
      </c>
      <c r="G158" t="str">
        <f t="shared" si="2"/>
        <v>June</v>
      </c>
      <c r="H158" s="1">
        <v>44355</v>
      </c>
      <c r="I158" t="s">
        <v>1077</v>
      </c>
      <c r="J158" t="s">
        <v>1074</v>
      </c>
    </row>
    <row r="159" spans="1:10" x14ac:dyDescent="0.3">
      <c r="A159" t="s">
        <v>1247</v>
      </c>
      <c r="B159" t="s">
        <v>181</v>
      </c>
      <c r="C159" t="s">
        <v>1097</v>
      </c>
      <c r="D159">
        <v>2</v>
      </c>
      <c r="E159">
        <v>1026.7</v>
      </c>
      <c r="F159">
        <v>2053.4</v>
      </c>
      <c r="G159" t="str">
        <f t="shared" si="2"/>
        <v>July</v>
      </c>
      <c r="H159" s="1">
        <v>45137</v>
      </c>
      <c r="I159" t="s">
        <v>1095</v>
      </c>
      <c r="J159" t="s">
        <v>1093</v>
      </c>
    </row>
    <row r="160" spans="1:10" x14ac:dyDescent="0.3">
      <c r="A160" t="s">
        <v>1248</v>
      </c>
      <c r="B160" t="s">
        <v>569</v>
      </c>
      <c r="C160" t="s">
        <v>1129</v>
      </c>
      <c r="D160">
        <v>1</v>
      </c>
      <c r="E160">
        <v>693.19</v>
      </c>
      <c r="F160">
        <v>693.19</v>
      </c>
      <c r="G160" t="str">
        <f t="shared" si="2"/>
        <v>September</v>
      </c>
      <c r="H160" s="1">
        <v>44464</v>
      </c>
      <c r="I160" t="s">
        <v>1089</v>
      </c>
      <c r="J160" t="s">
        <v>1074</v>
      </c>
    </row>
    <row r="161" spans="1:10" x14ac:dyDescent="0.3">
      <c r="A161" t="s">
        <v>1249</v>
      </c>
      <c r="B161" t="s">
        <v>839</v>
      </c>
      <c r="C161" t="s">
        <v>1106</v>
      </c>
      <c r="D161">
        <v>1</v>
      </c>
      <c r="E161">
        <v>790.24</v>
      </c>
      <c r="F161">
        <v>790.24</v>
      </c>
      <c r="G161" t="str">
        <f t="shared" si="2"/>
        <v>February</v>
      </c>
      <c r="H161" s="1">
        <v>44255</v>
      </c>
      <c r="I161" t="s">
        <v>1095</v>
      </c>
      <c r="J161" t="s">
        <v>1093</v>
      </c>
    </row>
    <row r="162" spans="1:10" x14ac:dyDescent="0.3">
      <c r="A162" t="s">
        <v>1250</v>
      </c>
      <c r="B162" t="s">
        <v>494</v>
      </c>
      <c r="C162" t="s">
        <v>5</v>
      </c>
      <c r="D162">
        <v>4</v>
      </c>
      <c r="E162">
        <v>65.53</v>
      </c>
      <c r="F162">
        <v>262.12</v>
      </c>
      <c r="G162" t="str">
        <f t="shared" si="2"/>
        <v>April</v>
      </c>
      <c r="H162" s="1">
        <v>45018</v>
      </c>
      <c r="I162" t="s">
        <v>1087</v>
      </c>
      <c r="J162" t="s">
        <v>1084</v>
      </c>
    </row>
    <row r="163" spans="1:10" x14ac:dyDescent="0.3">
      <c r="A163" t="s">
        <v>1251</v>
      </c>
      <c r="B163" t="s">
        <v>894</v>
      </c>
      <c r="C163" t="s">
        <v>1091</v>
      </c>
      <c r="D163">
        <v>3</v>
      </c>
      <c r="E163">
        <v>969.59</v>
      </c>
      <c r="F163">
        <v>2908.77</v>
      </c>
      <c r="G163" t="str">
        <f t="shared" si="2"/>
        <v>January</v>
      </c>
      <c r="H163" s="1">
        <v>43851</v>
      </c>
      <c r="I163" t="s">
        <v>1073</v>
      </c>
      <c r="J163" t="s">
        <v>1093</v>
      </c>
    </row>
    <row r="164" spans="1:10" x14ac:dyDescent="0.3">
      <c r="A164" t="s">
        <v>1252</v>
      </c>
      <c r="B164" t="s">
        <v>961</v>
      </c>
      <c r="C164" t="s">
        <v>1109</v>
      </c>
      <c r="D164">
        <v>1</v>
      </c>
      <c r="E164">
        <v>1499.95</v>
      </c>
      <c r="F164">
        <v>1499.95</v>
      </c>
      <c r="G164" t="str">
        <f t="shared" si="2"/>
        <v>September</v>
      </c>
      <c r="H164" s="1">
        <v>43733</v>
      </c>
      <c r="I164" t="s">
        <v>1077</v>
      </c>
      <c r="J164" t="s">
        <v>1093</v>
      </c>
    </row>
    <row r="165" spans="1:10" x14ac:dyDescent="0.3">
      <c r="A165" t="s">
        <v>1253</v>
      </c>
      <c r="B165" t="s">
        <v>1006</v>
      </c>
      <c r="C165" t="s">
        <v>1135</v>
      </c>
      <c r="D165">
        <v>5</v>
      </c>
      <c r="E165">
        <v>728.44</v>
      </c>
      <c r="F165">
        <v>3642.2</v>
      </c>
      <c r="G165" t="str">
        <f t="shared" si="2"/>
        <v>October</v>
      </c>
      <c r="H165" s="1">
        <v>43747</v>
      </c>
      <c r="I165" t="s">
        <v>1077</v>
      </c>
      <c r="J165" t="s">
        <v>1093</v>
      </c>
    </row>
    <row r="166" spans="1:10" x14ac:dyDescent="0.3">
      <c r="A166" t="s">
        <v>1254</v>
      </c>
      <c r="B166" t="s">
        <v>657</v>
      </c>
      <c r="C166" t="s">
        <v>1129</v>
      </c>
      <c r="D166">
        <v>3</v>
      </c>
      <c r="E166">
        <v>170.87</v>
      </c>
      <c r="F166">
        <v>512.61</v>
      </c>
      <c r="G166" t="str">
        <f t="shared" si="2"/>
        <v>September</v>
      </c>
      <c r="H166" s="1">
        <v>43723</v>
      </c>
      <c r="I166" t="s">
        <v>1089</v>
      </c>
      <c r="J166" t="s">
        <v>1079</v>
      </c>
    </row>
    <row r="167" spans="1:10" x14ac:dyDescent="0.3">
      <c r="A167" t="s">
        <v>1255</v>
      </c>
      <c r="B167" t="s">
        <v>994</v>
      </c>
      <c r="C167" t="s">
        <v>1072</v>
      </c>
      <c r="D167">
        <v>4</v>
      </c>
      <c r="E167">
        <v>241.22</v>
      </c>
      <c r="F167">
        <v>964.88</v>
      </c>
      <c r="G167" t="str">
        <f t="shared" si="2"/>
        <v>November</v>
      </c>
      <c r="H167" s="1">
        <v>44868</v>
      </c>
      <c r="I167" t="s">
        <v>1073</v>
      </c>
      <c r="J167" t="s">
        <v>1082</v>
      </c>
    </row>
    <row r="168" spans="1:10" x14ac:dyDescent="0.3">
      <c r="A168" t="s">
        <v>1256</v>
      </c>
      <c r="B168" t="s">
        <v>438</v>
      </c>
      <c r="C168" t="s">
        <v>1109</v>
      </c>
      <c r="D168">
        <v>2</v>
      </c>
      <c r="E168">
        <v>611.73</v>
      </c>
      <c r="F168">
        <v>1223.46</v>
      </c>
      <c r="G168" t="str">
        <f t="shared" si="2"/>
        <v>May</v>
      </c>
      <c r="H168" s="1">
        <v>45799</v>
      </c>
      <c r="I168" t="s">
        <v>1077</v>
      </c>
      <c r="J168" t="s">
        <v>1084</v>
      </c>
    </row>
    <row r="169" spans="1:10" x14ac:dyDescent="0.3">
      <c r="A169" t="s">
        <v>1257</v>
      </c>
      <c r="B169" t="s">
        <v>1053</v>
      </c>
      <c r="C169" t="s">
        <v>1072</v>
      </c>
      <c r="D169">
        <v>1</v>
      </c>
      <c r="E169">
        <v>492.32</v>
      </c>
      <c r="F169">
        <v>492.32</v>
      </c>
      <c r="G169" t="str">
        <f t="shared" si="2"/>
        <v>April</v>
      </c>
      <c r="H169" s="1">
        <v>44675</v>
      </c>
      <c r="I169" t="s">
        <v>1087</v>
      </c>
      <c r="J169" t="s">
        <v>1084</v>
      </c>
    </row>
    <row r="170" spans="1:10" x14ac:dyDescent="0.3">
      <c r="A170" t="s">
        <v>1258</v>
      </c>
      <c r="B170" t="s">
        <v>367</v>
      </c>
      <c r="C170" t="s">
        <v>1091</v>
      </c>
      <c r="D170">
        <v>4</v>
      </c>
      <c r="E170">
        <v>636.16</v>
      </c>
      <c r="F170">
        <v>2544.64</v>
      </c>
      <c r="G170" t="str">
        <f t="shared" si="2"/>
        <v>July</v>
      </c>
      <c r="H170" s="1">
        <v>45501</v>
      </c>
      <c r="I170" t="s">
        <v>1087</v>
      </c>
      <c r="J170" t="s">
        <v>1084</v>
      </c>
    </row>
    <row r="171" spans="1:10" x14ac:dyDescent="0.3">
      <c r="A171" t="s">
        <v>1259</v>
      </c>
      <c r="B171" t="s">
        <v>443</v>
      </c>
      <c r="C171" t="s">
        <v>1109</v>
      </c>
      <c r="D171">
        <v>3</v>
      </c>
      <c r="E171">
        <v>657.68</v>
      </c>
      <c r="F171">
        <v>1973.04</v>
      </c>
      <c r="G171" t="str">
        <f t="shared" si="2"/>
        <v>March</v>
      </c>
      <c r="H171" s="1">
        <v>44263</v>
      </c>
      <c r="I171" t="s">
        <v>1087</v>
      </c>
      <c r="J171" t="s">
        <v>1093</v>
      </c>
    </row>
    <row r="172" spans="1:10" x14ac:dyDescent="0.3">
      <c r="A172" t="s">
        <v>1260</v>
      </c>
      <c r="B172" t="s">
        <v>387</v>
      </c>
      <c r="C172" t="s">
        <v>1106</v>
      </c>
      <c r="D172">
        <v>2</v>
      </c>
      <c r="E172">
        <v>15.78</v>
      </c>
      <c r="F172">
        <v>31.56</v>
      </c>
      <c r="G172" t="str">
        <f t="shared" si="2"/>
        <v>May</v>
      </c>
      <c r="H172" s="1">
        <v>44344</v>
      </c>
      <c r="I172" t="s">
        <v>1095</v>
      </c>
      <c r="J172" t="s">
        <v>1084</v>
      </c>
    </row>
    <row r="173" spans="1:10" x14ac:dyDescent="0.3">
      <c r="A173" t="s">
        <v>1261</v>
      </c>
      <c r="B173" t="s">
        <v>98</v>
      </c>
      <c r="C173" t="s">
        <v>1135</v>
      </c>
      <c r="D173">
        <v>2</v>
      </c>
      <c r="E173">
        <v>1167.3900000000001</v>
      </c>
      <c r="F173">
        <v>2334.7800000000002</v>
      </c>
      <c r="G173" t="str">
        <f t="shared" si="2"/>
        <v>June</v>
      </c>
      <c r="H173" s="1">
        <v>45105</v>
      </c>
      <c r="I173" t="s">
        <v>1095</v>
      </c>
      <c r="J173" t="s">
        <v>1079</v>
      </c>
    </row>
    <row r="174" spans="1:10" x14ac:dyDescent="0.3">
      <c r="A174" t="s">
        <v>1262</v>
      </c>
      <c r="B174" t="s">
        <v>634</v>
      </c>
      <c r="C174" t="s">
        <v>1091</v>
      </c>
      <c r="D174">
        <v>5</v>
      </c>
      <c r="E174">
        <v>473.63</v>
      </c>
      <c r="F174">
        <v>2368.15</v>
      </c>
      <c r="G174" t="str">
        <f t="shared" si="2"/>
        <v>December</v>
      </c>
      <c r="H174" s="1">
        <v>44925</v>
      </c>
      <c r="I174" t="s">
        <v>1087</v>
      </c>
      <c r="J174" t="s">
        <v>1082</v>
      </c>
    </row>
    <row r="175" spans="1:10" x14ac:dyDescent="0.3">
      <c r="A175" t="s">
        <v>1263</v>
      </c>
      <c r="B175" t="s">
        <v>292</v>
      </c>
      <c r="C175" t="s">
        <v>1091</v>
      </c>
      <c r="D175">
        <v>4</v>
      </c>
      <c r="E175">
        <v>1729.27</v>
      </c>
      <c r="F175">
        <v>6917.08</v>
      </c>
      <c r="G175" t="str">
        <f t="shared" si="2"/>
        <v>April</v>
      </c>
      <c r="H175" s="1">
        <v>45030</v>
      </c>
      <c r="I175" t="s">
        <v>1073</v>
      </c>
      <c r="J175" t="s">
        <v>1074</v>
      </c>
    </row>
    <row r="176" spans="1:10" x14ac:dyDescent="0.3">
      <c r="A176" t="s">
        <v>1264</v>
      </c>
      <c r="B176" t="s">
        <v>717</v>
      </c>
      <c r="C176" t="s">
        <v>5</v>
      </c>
      <c r="D176">
        <v>2</v>
      </c>
      <c r="E176">
        <v>1133.6600000000001</v>
      </c>
      <c r="F176">
        <v>2267.3200000000002</v>
      </c>
      <c r="G176" t="str">
        <f t="shared" si="2"/>
        <v>April</v>
      </c>
      <c r="H176" s="1">
        <v>43947</v>
      </c>
      <c r="I176" t="s">
        <v>1087</v>
      </c>
      <c r="J176" t="s">
        <v>1074</v>
      </c>
    </row>
    <row r="177" spans="1:10" x14ac:dyDescent="0.3">
      <c r="A177" t="s">
        <v>1265</v>
      </c>
      <c r="B177" t="s">
        <v>251</v>
      </c>
      <c r="C177" t="s">
        <v>1106</v>
      </c>
      <c r="D177">
        <v>1</v>
      </c>
      <c r="E177">
        <v>1981.87</v>
      </c>
      <c r="F177">
        <v>1981.87</v>
      </c>
      <c r="G177" t="str">
        <f t="shared" si="2"/>
        <v>January</v>
      </c>
      <c r="H177" s="1">
        <v>43844</v>
      </c>
      <c r="I177" t="s">
        <v>1095</v>
      </c>
      <c r="J177" t="s">
        <v>1093</v>
      </c>
    </row>
    <row r="178" spans="1:10" x14ac:dyDescent="0.3">
      <c r="A178" t="s">
        <v>1266</v>
      </c>
      <c r="B178" t="s">
        <v>338</v>
      </c>
      <c r="C178" t="s">
        <v>1081</v>
      </c>
      <c r="D178">
        <v>3</v>
      </c>
      <c r="E178">
        <v>1627.9</v>
      </c>
      <c r="F178">
        <v>4883.7</v>
      </c>
      <c r="G178" t="str">
        <f t="shared" si="2"/>
        <v>May</v>
      </c>
      <c r="H178" s="1">
        <v>44703</v>
      </c>
      <c r="I178" t="s">
        <v>1095</v>
      </c>
      <c r="J178" t="s">
        <v>1079</v>
      </c>
    </row>
    <row r="179" spans="1:10" x14ac:dyDescent="0.3">
      <c r="A179" t="s">
        <v>1267</v>
      </c>
      <c r="B179" t="s">
        <v>674</v>
      </c>
      <c r="C179" t="s">
        <v>1081</v>
      </c>
      <c r="D179">
        <v>5</v>
      </c>
      <c r="E179">
        <v>1053.95</v>
      </c>
      <c r="F179">
        <v>5269.75</v>
      </c>
      <c r="G179" t="str">
        <f t="shared" si="2"/>
        <v>March</v>
      </c>
      <c r="H179" s="1">
        <v>45747</v>
      </c>
      <c r="I179" t="s">
        <v>1073</v>
      </c>
      <c r="J179" t="s">
        <v>1079</v>
      </c>
    </row>
    <row r="180" spans="1:10" x14ac:dyDescent="0.3">
      <c r="A180" t="s">
        <v>1268</v>
      </c>
      <c r="B180" t="s">
        <v>392</v>
      </c>
      <c r="C180" t="s">
        <v>5</v>
      </c>
      <c r="D180">
        <v>4</v>
      </c>
      <c r="E180">
        <v>1199.99</v>
      </c>
      <c r="F180">
        <v>4799.96</v>
      </c>
      <c r="G180" t="str">
        <f t="shared" si="2"/>
        <v>November</v>
      </c>
      <c r="H180" s="1">
        <v>44884</v>
      </c>
      <c r="I180" t="s">
        <v>1089</v>
      </c>
      <c r="J180" t="s">
        <v>1074</v>
      </c>
    </row>
    <row r="181" spans="1:10" x14ac:dyDescent="0.3">
      <c r="A181" t="s">
        <v>1269</v>
      </c>
      <c r="B181" t="s">
        <v>362</v>
      </c>
      <c r="C181" t="s">
        <v>1129</v>
      </c>
      <c r="D181">
        <v>3</v>
      </c>
      <c r="E181">
        <v>193.81</v>
      </c>
      <c r="F181">
        <v>581.42999999999995</v>
      </c>
      <c r="G181" t="str">
        <f t="shared" si="2"/>
        <v>February</v>
      </c>
      <c r="H181" s="1">
        <v>43502</v>
      </c>
      <c r="I181" t="s">
        <v>1095</v>
      </c>
      <c r="J181" t="s">
        <v>1082</v>
      </c>
    </row>
    <row r="182" spans="1:10" x14ac:dyDescent="0.3">
      <c r="A182" t="s">
        <v>1270</v>
      </c>
      <c r="B182" t="s">
        <v>488</v>
      </c>
      <c r="C182" t="s">
        <v>5</v>
      </c>
      <c r="D182">
        <v>5</v>
      </c>
      <c r="E182">
        <v>1546.23</v>
      </c>
      <c r="F182">
        <v>7731.15</v>
      </c>
      <c r="G182" t="str">
        <f t="shared" si="2"/>
        <v>June</v>
      </c>
      <c r="H182" s="1">
        <v>45471</v>
      </c>
      <c r="I182" t="s">
        <v>1073</v>
      </c>
      <c r="J182" t="s">
        <v>1082</v>
      </c>
    </row>
    <row r="183" spans="1:10" x14ac:dyDescent="0.3">
      <c r="A183" t="s">
        <v>1271</v>
      </c>
      <c r="B183" t="s">
        <v>834</v>
      </c>
      <c r="C183" t="s">
        <v>1091</v>
      </c>
      <c r="D183">
        <v>4</v>
      </c>
      <c r="E183">
        <v>1041.33</v>
      </c>
      <c r="F183">
        <v>4165.32</v>
      </c>
      <c r="G183" t="str">
        <f t="shared" si="2"/>
        <v>July</v>
      </c>
      <c r="H183" s="1">
        <v>44032</v>
      </c>
      <c r="I183" t="s">
        <v>1077</v>
      </c>
      <c r="J183" t="s">
        <v>1082</v>
      </c>
    </row>
    <row r="184" spans="1:10" x14ac:dyDescent="0.3">
      <c r="A184" t="s">
        <v>1272</v>
      </c>
      <c r="B184" t="s">
        <v>377</v>
      </c>
      <c r="C184" t="s">
        <v>5</v>
      </c>
      <c r="D184">
        <v>2</v>
      </c>
      <c r="E184">
        <v>1577.82</v>
      </c>
      <c r="F184">
        <v>3155.64</v>
      </c>
      <c r="G184" t="str">
        <f t="shared" si="2"/>
        <v>November</v>
      </c>
      <c r="H184" s="1">
        <v>44150</v>
      </c>
      <c r="I184" t="s">
        <v>1087</v>
      </c>
      <c r="J184" t="s">
        <v>1084</v>
      </c>
    </row>
    <row r="185" spans="1:10" x14ac:dyDescent="0.3">
      <c r="A185" t="s">
        <v>1273</v>
      </c>
      <c r="B185" t="s">
        <v>1019</v>
      </c>
      <c r="C185" t="s">
        <v>1097</v>
      </c>
      <c r="D185">
        <v>4</v>
      </c>
      <c r="E185">
        <v>291.5</v>
      </c>
      <c r="F185">
        <v>1166</v>
      </c>
      <c r="G185" t="str">
        <f t="shared" si="2"/>
        <v>May</v>
      </c>
      <c r="H185" s="1">
        <v>44344</v>
      </c>
      <c r="I185" t="s">
        <v>1087</v>
      </c>
      <c r="J185" t="s">
        <v>1079</v>
      </c>
    </row>
    <row r="186" spans="1:10" x14ac:dyDescent="0.3">
      <c r="A186" t="s">
        <v>1274</v>
      </c>
      <c r="B186" t="s">
        <v>181</v>
      </c>
      <c r="C186" t="s">
        <v>1109</v>
      </c>
      <c r="D186">
        <v>2</v>
      </c>
      <c r="E186">
        <v>763.69</v>
      </c>
      <c r="F186">
        <v>1527.38</v>
      </c>
      <c r="G186" t="str">
        <f t="shared" si="2"/>
        <v>May</v>
      </c>
      <c r="H186" s="1">
        <v>43613</v>
      </c>
      <c r="I186" t="s">
        <v>1073</v>
      </c>
      <c r="J186" t="s">
        <v>1093</v>
      </c>
    </row>
    <row r="187" spans="1:10" x14ac:dyDescent="0.3">
      <c r="A187" t="s">
        <v>1275</v>
      </c>
      <c r="B187" t="s">
        <v>961</v>
      </c>
      <c r="C187" t="s">
        <v>1097</v>
      </c>
      <c r="D187">
        <v>3</v>
      </c>
      <c r="E187">
        <v>1421.32</v>
      </c>
      <c r="F187">
        <v>4263.96</v>
      </c>
      <c r="G187" t="str">
        <f t="shared" si="2"/>
        <v>March</v>
      </c>
      <c r="H187" s="1">
        <v>45001</v>
      </c>
      <c r="I187" t="s">
        <v>1077</v>
      </c>
      <c r="J187" t="s">
        <v>1082</v>
      </c>
    </row>
    <row r="188" spans="1:10" x14ac:dyDescent="0.3">
      <c r="A188" t="s">
        <v>1276</v>
      </c>
      <c r="B188" t="s">
        <v>356</v>
      </c>
      <c r="C188" t="s">
        <v>1072</v>
      </c>
      <c r="D188">
        <v>1</v>
      </c>
      <c r="E188">
        <v>54.69</v>
      </c>
      <c r="F188">
        <v>54.69</v>
      </c>
      <c r="G188" t="str">
        <f t="shared" si="2"/>
        <v>May</v>
      </c>
      <c r="H188" s="1">
        <v>44699</v>
      </c>
      <c r="I188" t="s">
        <v>1077</v>
      </c>
      <c r="J188" t="s">
        <v>1093</v>
      </c>
    </row>
    <row r="189" spans="1:10" x14ac:dyDescent="0.3">
      <c r="A189" t="s">
        <v>1277</v>
      </c>
      <c r="B189" t="s">
        <v>458</v>
      </c>
      <c r="C189" t="s">
        <v>1097</v>
      </c>
      <c r="D189">
        <v>1</v>
      </c>
      <c r="E189">
        <v>1017.12</v>
      </c>
      <c r="F189">
        <v>1017.12</v>
      </c>
      <c r="G189" t="str">
        <f t="shared" si="2"/>
        <v>March</v>
      </c>
      <c r="H189" s="1">
        <v>45355</v>
      </c>
      <c r="I189" t="s">
        <v>1089</v>
      </c>
      <c r="J189" t="s">
        <v>1079</v>
      </c>
    </row>
    <row r="190" spans="1:10" x14ac:dyDescent="0.3">
      <c r="A190" t="s">
        <v>1278</v>
      </c>
      <c r="B190" t="s">
        <v>168</v>
      </c>
      <c r="C190" t="s">
        <v>5</v>
      </c>
      <c r="D190">
        <v>5</v>
      </c>
      <c r="E190">
        <v>1112.93</v>
      </c>
      <c r="F190">
        <v>5564.65</v>
      </c>
      <c r="G190" t="str">
        <f t="shared" si="2"/>
        <v>January</v>
      </c>
      <c r="H190" s="1">
        <v>44584</v>
      </c>
      <c r="I190" t="s">
        <v>1087</v>
      </c>
      <c r="J190" t="s">
        <v>1079</v>
      </c>
    </row>
    <row r="191" spans="1:10" x14ac:dyDescent="0.3">
      <c r="A191" t="s">
        <v>1279</v>
      </c>
      <c r="B191" t="s">
        <v>989</v>
      </c>
      <c r="C191" t="s">
        <v>1129</v>
      </c>
      <c r="D191">
        <v>5</v>
      </c>
      <c r="E191">
        <v>1409.74</v>
      </c>
      <c r="F191">
        <v>7048.7</v>
      </c>
      <c r="G191" t="str">
        <f t="shared" si="2"/>
        <v>May</v>
      </c>
      <c r="H191" s="1">
        <v>44698</v>
      </c>
      <c r="I191" t="s">
        <v>1095</v>
      </c>
      <c r="J191" t="s">
        <v>1074</v>
      </c>
    </row>
    <row r="192" spans="1:10" x14ac:dyDescent="0.3">
      <c r="A192" t="s">
        <v>1280</v>
      </c>
      <c r="B192" t="s">
        <v>401</v>
      </c>
      <c r="C192" t="s">
        <v>1076</v>
      </c>
      <c r="D192">
        <v>5</v>
      </c>
      <c r="E192">
        <v>243.26</v>
      </c>
      <c r="F192">
        <v>1216.3</v>
      </c>
      <c r="G192" t="str">
        <f t="shared" si="2"/>
        <v>January</v>
      </c>
      <c r="H192" s="1">
        <v>43485</v>
      </c>
      <c r="I192" t="s">
        <v>1077</v>
      </c>
      <c r="J192" t="s">
        <v>1079</v>
      </c>
    </row>
    <row r="193" spans="1:10" x14ac:dyDescent="0.3">
      <c r="A193" t="s">
        <v>1281</v>
      </c>
      <c r="B193" t="s">
        <v>240</v>
      </c>
      <c r="C193" t="s">
        <v>1106</v>
      </c>
      <c r="D193">
        <v>1</v>
      </c>
      <c r="E193">
        <v>1545.3</v>
      </c>
      <c r="F193">
        <v>1545.3</v>
      </c>
      <c r="G193" t="str">
        <f t="shared" si="2"/>
        <v>March</v>
      </c>
      <c r="H193" s="1">
        <v>44624</v>
      </c>
      <c r="I193" t="s">
        <v>1087</v>
      </c>
      <c r="J193" t="s">
        <v>1079</v>
      </c>
    </row>
    <row r="194" spans="1:10" x14ac:dyDescent="0.3">
      <c r="A194" t="s">
        <v>1282</v>
      </c>
      <c r="B194" t="s">
        <v>55</v>
      </c>
      <c r="C194" t="s">
        <v>1081</v>
      </c>
      <c r="D194">
        <v>5</v>
      </c>
      <c r="E194">
        <v>436.91</v>
      </c>
      <c r="F194">
        <v>2184.5500000000002</v>
      </c>
      <c r="G194" t="str">
        <f t="shared" si="2"/>
        <v>October</v>
      </c>
      <c r="H194" s="1">
        <v>44134</v>
      </c>
      <c r="I194" t="s">
        <v>1095</v>
      </c>
      <c r="J194" t="s">
        <v>1084</v>
      </c>
    </row>
    <row r="195" spans="1:10" x14ac:dyDescent="0.3">
      <c r="A195" t="s">
        <v>1283</v>
      </c>
      <c r="B195" t="s">
        <v>401</v>
      </c>
      <c r="C195" t="s">
        <v>1076</v>
      </c>
      <c r="D195">
        <v>3</v>
      </c>
      <c r="E195">
        <v>16.579999999999998</v>
      </c>
      <c r="F195">
        <v>49.74</v>
      </c>
      <c r="G195" t="str">
        <f t="shared" ref="G195:G258" si="3">TEXT(H195,"mmmm")</f>
        <v>December</v>
      </c>
      <c r="H195" s="1">
        <v>44537</v>
      </c>
      <c r="I195" t="s">
        <v>1087</v>
      </c>
      <c r="J195" t="s">
        <v>1093</v>
      </c>
    </row>
    <row r="196" spans="1:10" x14ac:dyDescent="0.3">
      <c r="A196" t="s">
        <v>1284</v>
      </c>
      <c r="B196" t="s">
        <v>595</v>
      </c>
      <c r="C196" t="s">
        <v>1135</v>
      </c>
      <c r="D196">
        <v>2</v>
      </c>
      <c r="E196">
        <v>1194.3699999999999</v>
      </c>
      <c r="F196">
        <v>2388.7399999999998</v>
      </c>
      <c r="G196" t="str">
        <f t="shared" si="3"/>
        <v>May</v>
      </c>
      <c r="H196" s="1">
        <v>44703</v>
      </c>
      <c r="I196" t="s">
        <v>1095</v>
      </c>
      <c r="J196" t="s">
        <v>1074</v>
      </c>
    </row>
    <row r="197" spans="1:10" x14ac:dyDescent="0.3">
      <c r="A197" t="s">
        <v>1285</v>
      </c>
      <c r="B197" t="s">
        <v>322</v>
      </c>
      <c r="C197" t="s">
        <v>1076</v>
      </c>
      <c r="D197">
        <v>1</v>
      </c>
      <c r="E197">
        <v>1326.85</v>
      </c>
      <c r="F197">
        <v>1326.85</v>
      </c>
      <c r="G197" t="str">
        <f t="shared" si="3"/>
        <v>September</v>
      </c>
      <c r="H197" s="1">
        <v>43719</v>
      </c>
      <c r="I197" t="s">
        <v>1087</v>
      </c>
      <c r="J197" t="s">
        <v>1074</v>
      </c>
    </row>
    <row r="198" spans="1:10" x14ac:dyDescent="0.3">
      <c r="A198" t="s">
        <v>1286</v>
      </c>
      <c r="B198" t="s">
        <v>639</v>
      </c>
      <c r="C198" t="s">
        <v>1076</v>
      </c>
      <c r="D198">
        <v>2</v>
      </c>
      <c r="E198">
        <v>1572.46</v>
      </c>
      <c r="F198">
        <v>3144.92</v>
      </c>
      <c r="G198" t="str">
        <f t="shared" si="3"/>
        <v>December</v>
      </c>
      <c r="H198" s="1">
        <v>44550</v>
      </c>
      <c r="I198" t="s">
        <v>1089</v>
      </c>
      <c r="J198" t="s">
        <v>1079</v>
      </c>
    </row>
    <row r="199" spans="1:10" x14ac:dyDescent="0.3">
      <c r="A199" t="s">
        <v>1287</v>
      </c>
      <c r="B199" t="s">
        <v>679</v>
      </c>
      <c r="C199" t="s">
        <v>1135</v>
      </c>
      <c r="D199">
        <v>2</v>
      </c>
      <c r="E199">
        <v>364.24</v>
      </c>
      <c r="F199">
        <v>728.48</v>
      </c>
      <c r="G199" t="str">
        <f t="shared" si="3"/>
        <v>March</v>
      </c>
      <c r="H199" s="1">
        <v>44640</v>
      </c>
      <c r="I199" t="s">
        <v>1095</v>
      </c>
      <c r="J199" t="s">
        <v>1074</v>
      </c>
    </row>
    <row r="200" spans="1:10" x14ac:dyDescent="0.3">
      <c r="A200" t="s">
        <v>1288</v>
      </c>
      <c r="B200" t="s">
        <v>852</v>
      </c>
      <c r="C200" t="s">
        <v>1129</v>
      </c>
      <c r="D200">
        <v>2</v>
      </c>
      <c r="E200">
        <v>1753.46</v>
      </c>
      <c r="F200">
        <v>3506.92</v>
      </c>
      <c r="G200" t="str">
        <f t="shared" si="3"/>
        <v>August</v>
      </c>
      <c r="H200" s="1">
        <v>43707</v>
      </c>
      <c r="I200" t="s">
        <v>1077</v>
      </c>
      <c r="J200" t="s">
        <v>1084</v>
      </c>
    </row>
    <row r="201" spans="1:10" x14ac:dyDescent="0.3">
      <c r="A201" t="s">
        <v>1289</v>
      </c>
      <c r="B201" t="s">
        <v>669</v>
      </c>
      <c r="C201" t="s">
        <v>1106</v>
      </c>
      <c r="D201">
        <v>2</v>
      </c>
      <c r="E201">
        <v>1782.18</v>
      </c>
      <c r="F201">
        <v>3564.36</v>
      </c>
      <c r="G201" t="str">
        <f t="shared" si="3"/>
        <v>November</v>
      </c>
      <c r="H201" s="1">
        <v>44502</v>
      </c>
      <c r="I201" t="s">
        <v>1087</v>
      </c>
      <c r="J201" t="s">
        <v>1074</v>
      </c>
    </row>
    <row r="202" spans="1:10" x14ac:dyDescent="0.3">
      <c r="A202" t="s">
        <v>1290</v>
      </c>
      <c r="B202" t="s">
        <v>619</v>
      </c>
      <c r="C202" t="s">
        <v>1109</v>
      </c>
      <c r="D202">
        <v>3</v>
      </c>
      <c r="E202">
        <v>18.11</v>
      </c>
      <c r="F202">
        <v>54.33</v>
      </c>
      <c r="G202" t="str">
        <f t="shared" si="3"/>
        <v>May</v>
      </c>
      <c r="H202" s="1">
        <v>45797</v>
      </c>
      <c r="I202" t="s">
        <v>1073</v>
      </c>
      <c r="J202" t="s">
        <v>1079</v>
      </c>
    </row>
    <row r="203" spans="1:10" x14ac:dyDescent="0.3">
      <c r="A203" t="s">
        <v>1291</v>
      </c>
      <c r="B203" t="s">
        <v>286</v>
      </c>
      <c r="C203" t="s">
        <v>1072</v>
      </c>
      <c r="D203">
        <v>2</v>
      </c>
      <c r="E203">
        <v>704.69</v>
      </c>
      <c r="F203">
        <v>1409.38</v>
      </c>
      <c r="G203" t="str">
        <f t="shared" si="3"/>
        <v>November</v>
      </c>
      <c r="H203" s="1">
        <v>44874</v>
      </c>
      <c r="I203" t="s">
        <v>1077</v>
      </c>
      <c r="J203" t="s">
        <v>1084</v>
      </c>
    </row>
    <row r="204" spans="1:10" x14ac:dyDescent="0.3">
      <c r="A204" t="s">
        <v>1292</v>
      </c>
      <c r="B204" t="s">
        <v>661</v>
      </c>
      <c r="C204" t="s">
        <v>1106</v>
      </c>
      <c r="D204">
        <v>2</v>
      </c>
      <c r="E204">
        <v>1143.1600000000001</v>
      </c>
      <c r="F204">
        <v>2286.3200000000002</v>
      </c>
      <c r="G204" t="str">
        <f t="shared" si="3"/>
        <v>September</v>
      </c>
      <c r="H204" s="1">
        <v>45922</v>
      </c>
      <c r="I204" t="s">
        <v>1077</v>
      </c>
      <c r="J204" t="s">
        <v>1082</v>
      </c>
    </row>
    <row r="205" spans="1:10" x14ac:dyDescent="0.3">
      <c r="A205" t="s">
        <v>1293</v>
      </c>
      <c r="B205" t="s">
        <v>624</v>
      </c>
      <c r="C205" t="s">
        <v>5</v>
      </c>
      <c r="D205">
        <v>3</v>
      </c>
      <c r="E205">
        <v>1137.31</v>
      </c>
      <c r="F205">
        <v>3411.93</v>
      </c>
      <c r="G205" t="str">
        <f t="shared" si="3"/>
        <v>November</v>
      </c>
      <c r="H205" s="1">
        <v>45247</v>
      </c>
      <c r="I205" t="s">
        <v>1095</v>
      </c>
      <c r="J205" t="s">
        <v>1074</v>
      </c>
    </row>
    <row r="206" spans="1:10" x14ac:dyDescent="0.3">
      <c r="A206" t="s">
        <v>1294</v>
      </c>
      <c r="B206" t="s">
        <v>639</v>
      </c>
      <c r="C206" t="s">
        <v>1081</v>
      </c>
      <c r="D206">
        <v>1</v>
      </c>
      <c r="E206">
        <v>1372.21</v>
      </c>
      <c r="F206">
        <v>1372.21</v>
      </c>
      <c r="G206" t="str">
        <f t="shared" si="3"/>
        <v>November</v>
      </c>
      <c r="H206" s="1">
        <v>44511</v>
      </c>
      <c r="I206" t="s">
        <v>1087</v>
      </c>
      <c r="J206" t="s">
        <v>1093</v>
      </c>
    </row>
    <row r="207" spans="1:10" x14ac:dyDescent="0.3">
      <c r="A207" t="s">
        <v>1295</v>
      </c>
      <c r="B207" t="s">
        <v>857</v>
      </c>
      <c r="C207" t="s">
        <v>1081</v>
      </c>
      <c r="D207">
        <v>1</v>
      </c>
      <c r="E207">
        <v>1094.3800000000001</v>
      </c>
      <c r="F207">
        <v>1094.3800000000001</v>
      </c>
      <c r="G207" t="str">
        <f t="shared" si="3"/>
        <v>August</v>
      </c>
      <c r="H207" s="1">
        <v>44779</v>
      </c>
      <c r="I207" t="s">
        <v>1089</v>
      </c>
      <c r="J207" t="s">
        <v>1079</v>
      </c>
    </row>
    <row r="208" spans="1:10" x14ac:dyDescent="0.3">
      <c r="A208" t="s">
        <v>1296</v>
      </c>
      <c r="B208" t="s">
        <v>423</v>
      </c>
      <c r="C208" t="s">
        <v>1129</v>
      </c>
      <c r="D208">
        <v>4</v>
      </c>
      <c r="E208">
        <v>58.9</v>
      </c>
      <c r="F208">
        <v>235.6</v>
      </c>
      <c r="G208" t="str">
        <f t="shared" si="3"/>
        <v>December</v>
      </c>
      <c r="H208" s="1">
        <v>44556</v>
      </c>
      <c r="I208" t="s">
        <v>1073</v>
      </c>
      <c r="J208" t="s">
        <v>1082</v>
      </c>
    </row>
    <row r="209" spans="1:10" x14ac:dyDescent="0.3">
      <c r="A209" t="s">
        <v>1297</v>
      </c>
      <c r="B209" t="s">
        <v>966</v>
      </c>
      <c r="C209" t="s">
        <v>1081</v>
      </c>
      <c r="D209">
        <v>3</v>
      </c>
      <c r="E209">
        <v>1335.87</v>
      </c>
      <c r="F209">
        <v>4007.61</v>
      </c>
      <c r="G209" t="str">
        <f t="shared" si="3"/>
        <v>March</v>
      </c>
      <c r="H209" s="1">
        <v>44630</v>
      </c>
      <c r="I209" t="s">
        <v>1087</v>
      </c>
      <c r="J209" t="s">
        <v>1084</v>
      </c>
    </row>
    <row r="210" spans="1:10" x14ac:dyDescent="0.3">
      <c r="A210" t="s">
        <v>1298</v>
      </c>
      <c r="B210" t="s">
        <v>927</v>
      </c>
      <c r="C210" t="s">
        <v>1076</v>
      </c>
      <c r="D210">
        <v>2</v>
      </c>
      <c r="E210">
        <v>683.21</v>
      </c>
      <c r="F210">
        <v>1366.42</v>
      </c>
      <c r="G210" t="str">
        <f t="shared" si="3"/>
        <v>December</v>
      </c>
      <c r="H210" s="1">
        <v>45274</v>
      </c>
      <c r="I210" t="s">
        <v>1077</v>
      </c>
      <c r="J210" t="s">
        <v>1093</v>
      </c>
    </row>
    <row r="211" spans="1:10" x14ac:dyDescent="0.3">
      <c r="A211" t="s">
        <v>1299</v>
      </c>
      <c r="B211" t="s">
        <v>830</v>
      </c>
      <c r="C211" t="s">
        <v>1097</v>
      </c>
      <c r="D211">
        <v>3</v>
      </c>
      <c r="E211">
        <v>94.73</v>
      </c>
      <c r="F211">
        <v>284.19</v>
      </c>
      <c r="G211" t="str">
        <f t="shared" si="3"/>
        <v>October</v>
      </c>
      <c r="H211" s="1">
        <v>45593</v>
      </c>
      <c r="I211" t="s">
        <v>1089</v>
      </c>
      <c r="J211" t="s">
        <v>1079</v>
      </c>
    </row>
    <row r="212" spans="1:10" x14ac:dyDescent="0.3">
      <c r="A212" t="s">
        <v>1300</v>
      </c>
      <c r="B212" t="s">
        <v>898</v>
      </c>
      <c r="C212" t="s">
        <v>1076</v>
      </c>
      <c r="D212">
        <v>4</v>
      </c>
      <c r="E212">
        <v>1734.29</v>
      </c>
      <c r="F212">
        <v>6937.16</v>
      </c>
      <c r="G212" t="str">
        <f t="shared" si="3"/>
        <v>July</v>
      </c>
      <c r="H212" s="1">
        <v>45861</v>
      </c>
      <c r="I212" t="s">
        <v>1095</v>
      </c>
      <c r="J212" t="s">
        <v>1079</v>
      </c>
    </row>
    <row r="213" spans="1:10" x14ac:dyDescent="0.3">
      <c r="A213" t="s">
        <v>1301</v>
      </c>
      <c r="B213" t="s">
        <v>468</v>
      </c>
      <c r="C213" t="s">
        <v>1129</v>
      </c>
      <c r="D213">
        <v>2</v>
      </c>
      <c r="E213">
        <v>334.23</v>
      </c>
      <c r="F213">
        <v>668.46</v>
      </c>
      <c r="G213" t="str">
        <f t="shared" si="3"/>
        <v>March</v>
      </c>
      <c r="H213" s="1">
        <v>45011</v>
      </c>
      <c r="I213" t="s">
        <v>1073</v>
      </c>
      <c r="J213" t="s">
        <v>1074</v>
      </c>
    </row>
    <row r="214" spans="1:10" x14ac:dyDescent="0.3">
      <c r="A214" t="s">
        <v>1302</v>
      </c>
      <c r="B214" t="s">
        <v>168</v>
      </c>
      <c r="C214" t="s">
        <v>1097</v>
      </c>
      <c r="D214">
        <v>4</v>
      </c>
      <c r="E214">
        <v>578.49</v>
      </c>
      <c r="F214">
        <v>2313.96</v>
      </c>
      <c r="G214" t="str">
        <f t="shared" si="3"/>
        <v>September</v>
      </c>
      <c r="H214" s="1">
        <v>45918</v>
      </c>
      <c r="I214" t="s">
        <v>1077</v>
      </c>
      <c r="J214" t="s">
        <v>1093</v>
      </c>
    </row>
    <row r="215" spans="1:10" x14ac:dyDescent="0.3">
      <c r="A215" t="s">
        <v>1303</v>
      </c>
      <c r="B215" t="s">
        <v>773</v>
      </c>
      <c r="C215" t="s">
        <v>1109</v>
      </c>
      <c r="D215">
        <v>4</v>
      </c>
      <c r="E215">
        <v>35.979999999999997</v>
      </c>
      <c r="F215">
        <v>143.91999999999999</v>
      </c>
      <c r="G215" t="str">
        <f t="shared" si="3"/>
        <v>May</v>
      </c>
      <c r="H215" s="1">
        <v>45787</v>
      </c>
      <c r="I215" t="s">
        <v>1089</v>
      </c>
      <c r="J215" t="s">
        <v>1093</v>
      </c>
    </row>
    <row r="216" spans="1:10" x14ac:dyDescent="0.3">
      <c r="A216" t="s">
        <v>1304</v>
      </c>
      <c r="B216" t="s">
        <v>126</v>
      </c>
      <c r="C216" t="s">
        <v>1076</v>
      </c>
      <c r="D216">
        <v>3</v>
      </c>
      <c r="E216">
        <v>1989.74</v>
      </c>
      <c r="F216">
        <v>5969.22</v>
      </c>
      <c r="G216" t="str">
        <f t="shared" si="3"/>
        <v>February</v>
      </c>
      <c r="H216" s="1">
        <v>43867</v>
      </c>
      <c r="I216" t="s">
        <v>1087</v>
      </c>
      <c r="J216" t="s">
        <v>1093</v>
      </c>
    </row>
    <row r="217" spans="1:10" x14ac:dyDescent="0.3">
      <c r="A217" t="s">
        <v>1305</v>
      </c>
      <c r="B217" t="s">
        <v>937</v>
      </c>
      <c r="C217" t="s">
        <v>1081</v>
      </c>
      <c r="D217">
        <v>2</v>
      </c>
      <c r="E217">
        <v>1079.04</v>
      </c>
      <c r="F217">
        <v>2158.08</v>
      </c>
      <c r="G217" t="str">
        <f t="shared" si="3"/>
        <v>April</v>
      </c>
      <c r="H217" s="1">
        <v>45771</v>
      </c>
      <c r="I217" t="s">
        <v>1073</v>
      </c>
      <c r="J217" t="s">
        <v>1082</v>
      </c>
    </row>
    <row r="218" spans="1:10" x14ac:dyDescent="0.3">
      <c r="A218" t="s">
        <v>1306</v>
      </c>
      <c r="B218" t="s">
        <v>966</v>
      </c>
      <c r="C218" t="s">
        <v>1076</v>
      </c>
      <c r="D218">
        <v>2</v>
      </c>
      <c r="E218">
        <v>1811.55</v>
      </c>
      <c r="F218">
        <v>3623.1</v>
      </c>
      <c r="G218" t="str">
        <f t="shared" si="3"/>
        <v>May</v>
      </c>
      <c r="H218" s="1">
        <v>45801</v>
      </c>
      <c r="I218" t="s">
        <v>1087</v>
      </c>
      <c r="J218" t="s">
        <v>1093</v>
      </c>
    </row>
    <row r="219" spans="1:10" x14ac:dyDescent="0.3">
      <c r="A219" t="s">
        <v>1307</v>
      </c>
      <c r="B219" t="s">
        <v>383</v>
      </c>
      <c r="C219" t="s">
        <v>1091</v>
      </c>
      <c r="D219">
        <v>3</v>
      </c>
      <c r="E219">
        <v>1493.32</v>
      </c>
      <c r="F219">
        <v>4479.96</v>
      </c>
      <c r="G219" t="str">
        <f t="shared" si="3"/>
        <v>September</v>
      </c>
      <c r="H219" s="1">
        <v>45180</v>
      </c>
      <c r="I219" t="s">
        <v>1095</v>
      </c>
      <c r="J219" t="s">
        <v>1093</v>
      </c>
    </row>
    <row r="220" spans="1:10" x14ac:dyDescent="0.3">
      <c r="A220" t="s">
        <v>1308</v>
      </c>
      <c r="B220" t="s">
        <v>218</v>
      </c>
      <c r="C220" t="s">
        <v>1109</v>
      </c>
      <c r="D220">
        <v>1</v>
      </c>
      <c r="E220">
        <v>760.67</v>
      </c>
      <c r="F220">
        <v>760.67</v>
      </c>
      <c r="G220" t="str">
        <f t="shared" si="3"/>
        <v>October</v>
      </c>
      <c r="H220" s="1">
        <v>45574</v>
      </c>
      <c r="I220" t="s">
        <v>1077</v>
      </c>
      <c r="J220" t="s">
        <v>1079</v>
      </c>
    </row>
    <row r="221" spans="1:10" x14ac:dyDescent="0.3">
      <c r="A221" t="s">
        <v>1309</v>
      </c>
      <c r="B221" t="s">
        <v>908</v>
      </c>
      <c r="C221" t="s">
        <v>1109</v>
      </c>
      <c r="D221">
        <v>1</v>
      </c>
      <c r="E221">
        <v>789.16</v>
      </c>
      <c r="F221">
        <v>789.16</v>
      </c>
      <c r="G221" t="str">
        <f t="shared" si="3"/>
        <v>September</v>
      </c>
      <c r="H221" s="1">
        <v>44464</v>
      </c>
      <c r="I221" t="s">
        <v>1095</v>
      </c>
      <c r="J221" t="s">
        <v>1093</v>
      </c>
    </row>
    <row r="222" spans="1:10" x14ac:dyDescent="0.3">
      <c r="A222" t="s">
        <v>1310</v>
      </c>
      <c r="B222" t="s">
        <v>918</v>
      </c>
      <c r="C222" t="s">
        <v>1135</v>
      </c>
      <c r="D222">
        <v>2</v>
      </c>
      <c r="E222">
        <v>549.13</v>
      </c>
      <c r="F222">
        <v>1098.26</v>
      </c>
      <c r="G222" t="str">
        <f t="shared" si="3"/>
        <v>April</v>
      </c>
      <c r="H222" s="1">
        <v>43948</v>
      </c>
      <c r="I222" t="s">
        <v>1089</v>
      </c>
      <c r="J222" t="s">
        <v>1079</v>
      </c>
    </row>
    <row r="223" spans="1:10" x14ac:dyDescent="0.3">
      <c r="A223" t="s">
        <v>1311</v>
      </c>
      <c r="B223" t="s">
        <v>528</v>
      </c>
      <c r="C223" t="s">
        <v>1091</v>
      </c>
      <c r="D223">
        <v>5</v>
      </c>
      <c r="E223">
        <v>540.79</v>
      </c>
      <c r="F223">
        <v>2703.95</v>
      </c>
      <c r="G223" t="str">
        <f t="shared" si="3"/>
        <v>May</v>
      </c>
      <c r="H223" s="1">
        <v>43616</v>
      </c>
      <c r="I223" t="s">
        <v>1077</v>
      </c>
      <c r="J223" t="s">
        <v>1093</v>
      </c>
    </row>
    <row r="224" spans="1:10" x14ac:dyDescent="0.3">
      <c r="A224" t="s">
        <v>1312</v>
      </c>
      <c r="B224" t="s">
        <v>674</v>
      </c>
      <c r="C224" t="s">
        <v>1081</v>
      </c>
      <c r="D224">
        <v>5</v>
      </c>
      <c r="E224">
        <v>62.95</v>
      </c>
      <c r="F224">
        <v>314.75</v>
      </c>
      <c r="G224" t="str">
        <f t="shared" si="3"/>
        <v>May</v>
      </c>
      <c r="H224" s="1">
        <v>45439</v>
      </c>
      <c r="I224" t="s">
        <v>1073</v>
      </c>
      <c r="J224" t="s">
        <v>1093</v>
      </c>
    </row>
    <row r="225" spans="1:10" x14ac:dyDescent="0.3">
      <c r="A225" t="s">
        <v>1313</v>
      </c>
      <c r="B225" t="s">
        <v>1049</v>
      </c>
      <c r="C225" t="s">
        <v>1081</v>
      </c>
      <c r="D225">
        <v>2</v>
      </c>
      <c r="E225">
        <v>1712.42</v>
      </c>
      <c r="F225">
        <v>3424.84</v>
      </c>
      <c r="G225" t="str">
        <f t="shared" si="3"/>
        <v>August</v>
      </c>
      <c r="H225" s="1">
        <v>45156</v>
      </c>
      <c r="I225" t="s">
        <v>1095</v>
      </c>
      <c r="J225" t="s">
        <v>1084</v>
      </c>
    </row>
    <row r="226" spans="1:10" x14ac:dyDescent="0.3">
      <c r="A226" t="s">
        <v>1314</v>
      </c>
      <c r="B226" t="s">
        <v>448</v>
      </c>
      <c r="C226" t="s">
        <v>1072</v>
      </c>
      <c r="D226">
        <v>3</v>
      </c>
      <c r="E226">
        <v>424.31</v>
      </c>
      <c r="F226">
        <v>1272.93</v>
      </c>
      <c r="G226" t="str">
        <f t="shared" si="3"/>
        <v>July</v>
      </c>
      <c r="H226" s="1">
        <v>44773</v>
      </c>
      <c r="I226" t="s">
        <v>1089</v>
      </c>
      <c r="J226" t="s">
        <v>1079</v>
      </c>
    </row>
    <row r="227" spans="1:10" x14ac:dyDescent="0.3">
      <c r="A227" t="s">
        <v>1315</v>
      </c>
      <c r="B227" t="s">
        <v>396</v>
      </c>
      <c r="C227" t="s">
        <v>1076</v>
      </c>
      <c r="D227">
        <v>3</v>
      </c>
      <c r="E227">
        <v>648.61</v>
      </c>
      <c r="F227">
        <v>1945.83</v>
      </c>
      <c r="G227" t="str">
        <f t="shared" si="3"/>
        <v>April</v>
      </c>
      <c r="H227" s="1">
        <v>43950</v>
      </c>
      <c r="I227" t="s">
        <v>1077</v>
      </c>
      <c r="J227" t="s">
        <v>1074</v>
      </c>
    </row>
    <row r="228" spans="1:10" x14ac:dyDescent="0.3">
      <c r="A228" t="s">
        <v>1316</v>
      </c>
      <c r="B228" t="s">
        <v>797</v>
      </c>
      <c r="C228" t="s">
        <v>5</v>
      </c>
      <c r="D228">
        <v>3</v>
      </c>
      <c r="E228">
        <v>1693.91</v>
      </c>
      <c r="F228">
        <v>5081.7299999999996</v>
      </c>
      <c r="G228" t="str">
        <f t="shared" si="3"/>
        <v>February</v>
      </c>
      <c r="H228" s="1">
        <v>45708</v>
      </c>
      <c r="I228" t="s">
        <v>1095</v>
      </c>
      <c r="J228" t="s">
        <v>1082</v>
      </c>
    </row>
    <row r="229" spans="1:10" x14ac:dyDescent="0.3">
      <c r="A229" t="s">
        <v>1317</v>
      </c>
      <c r="B229" t="s">
        <v>318</v>
      </c>
      <c r="C229" t="s">
        <v>1135</v>
      </c>
      <c r="D229">
        <v>5</v>
      </c>
      <c r="E229">
        <v>84.97</v>
      </c>
      <c r="F229">
        <v>424.85</v>
      </c>
      <c r="G229" t="str">
        <f t="shared" si="3"/>
        <v>July</v>
      </c>
      <c r="H229" s="1">
        <v>45499</v>
      </c>
      <c r="I229" t="s">
        <v>1077</v>
      </c>
      <c r="J229" t="s">
        <v>1084</v>
      </c>
    </row>
    <row r="230" spans="1:10" x14ac:dyDescent="0.3">
      <c r="A230" t="s">
        <v>1318</v>
      </c>
      <c r="B230" t="s">
        <v>504</v>
      </c>
      <c r="C230" t="s">
        <v>1129</v>
      </c>
      <c r="D230">
        <v>5</v>
      </c>
      <c r="E230">
        <v>1737.73</v>
      </c>
      <c r="F230">
        <v>8688.65</v>
      </c>
      <c r="G230" t="str">
        <f t="shared" si="3"/>
        <v>March</v>
      </c>
      <c r="H230" s="1">
        <v>45360</v>
      </c>
      <c r="I230" t="s">
        <v>1089</v>
      </c>
      <c r="J230" t="s">
        <v>1082</v>
      </c>
    </row>
    <row r="231" spans="1:10" x14ac:dyDescent="0.3">
      <c r="A231" t="s">
        <v>1319</v>
      </c>
      <c r="B231" t="s">
        <v>494</v>
      </c>
      <c r="C231" t="s">
        <v>1135</v>
      </c>
      <c r="D231">
        <v>3</v>
      </c>
      <c r="E231">
        <v>323.20999999999998</v>
      </c>
      <c r="F231">
        <v>969.63</v>
      </c>
      <c r="G231" t="str">
        <f t="shared" si="3"/>
        <v>October</v>
      </c>
      <c r="H231" s="1">
        <v>44488</v>
      </c>
      <c r="I231" t="s">
        <v>1073</v>
      </c>
      <c r="J231" t="s">
        <v>1079</v>
      </c>
    </row>
    <row r="232" spans="1:10" x14ac:dyDescent="0.3">
      <c r="A232" t="s">
        <v>1320</v>
      </c>
      <c r="B232" t="s">
        <v>793</v>
      </c>
      <c r="C232" t="s">
        <v>1072</v>
      </c>
      <c r="D232">
        <v>2</v>
      </c>
      <c r="E232">
        <v>711.09</v>
      </c>
      <c r="F232">
        <v>1422.18</v>
      </c>
      <c r="G232" t="str">
        <f t="shared" si="3"/>
        <v>October</v>
      </c>
      <c r="H232" s="1">
        <v>44478</v>
      </c>
      <c r="I232" t="s">
        <v>1087</v>
      </c>
      <c r="J232" t="s">
        <v>1084</v>
      </c>
    </row>
    <row r="233" spans="1:10" x14ac:dyDescent="0.3">
      <c r="A233" t="s">
        <v>1321</v>
      </c>
      <c r="B233" t="s">
        <v>665</v>
      </c>
      <c r="C233" t="s">
        <v>1106</v>
      </c>
      <c r="D233">
        <v>3</v>
      </c>
      <c r="E233">
        <v>1722.9</v>
      </c>
      <c r="F233">
        <v>5168.7</v>
      </c>
      <c r="G233" t="str">
        <f t="shared" si="3"/>
        <v>September</v>
      </c>
      <c r="H233" s="1">
        <v>44089</v>
      </c>
      <c r="I233" t="s">
        <v>1073</v>
      </c>
      <c r="J233" t="s">
        <v>1074</v>
      </c>
    </row>
    <row r="234" spans="1:10" x14ac:dyDescent="0.3">
      <c r="A234" t="s">
        <v>1322</v>
      </c>
      <c r="B234" t="s">
        <v>839</v>
      </c>
      <c r="C234" t="s">
        <v>1135</v>
      </c>
      <c r="D234">
        <v>3</v>
      </c>
      <c r="E234">
        <v>589.72</v>
      </c>
      <c r="F234">
        <v>1769.16</v>
      </c>
      <c r="G234" t="str">
        <f t="shared" si="3"/>
        <v>June</v>
      </c>
      <c r="H234" s="1">
        <v>44366</v>
      </c>
      <c r="I234" t="s">
        <v>1087</v>
      </c>
      <c r="J234" t="s">
        <v>1079</v>
      </c>
    </row>
    <row r="235" spans="1:10" x14ac:dyDescent="0.3">
      <c r="A235" t="s">
        <v>1323</v>
      </c>
      <c r="B235" t="s">
        <v>168</v>
      </c>
      <c r="C235" t="s">
        <v>1135</v>
      </c>
      <c r="D235">
        <v>1</v>
      </c>
      <c r="E235">
        <v>625.77</v>
      </c>
      <c r="F235">
        <v>625.77</v>
      </c>
      <c r="G235" t="str">
        <f t="shared" si="3"/>
        <v>April</v>
      </c>
      <c r="H235" s="1">
        <v>44664</v>
      </c>
      <c r="I235" t="s">
        <v>1073</v>
      </c>
      <c r="J235" t="s">
        <v>1093</v>
      </c>
    </row>
    <row r="236" spans="1:10" x14ac:dyDescent="0.3">
      <c r="A236" t="s">
        <v>1324</v>
      </c>
      <c r="B236" t="s">
        <v>643</v>
      </c>
      <c r="C236" t="s">
        <v>1091</v>
      </c>
      <c r="D236">
        <v>4</v>
      </c>
      <c r="E236">
        <v>1741.75</v>
      </c>
      <c r="F236">
        <v>6967</v>
      </c>
      <c r="G236" t="str">
        <f t="shared" si="3"/>
        <v>June</v>
      </c>
      <c r="H236" s="1">
        <v>43619</v>
      </c>
      <c r="I236" t="s">
        <v>1089</v>
      </c>
      <c r="J236" t="s">
        <v>1074</v>
      </c>
    </row>
    <row r="237" spans="1:10" x14ac:dyDescent="0.3">
      <c r="A237" t="s">
        <v>1325</v>
      </c>
      <c r="B237" t="s">
        <v>735</v>
      </c>
      <c r="C237" t="s">
        <v>5</v>
      </c>
      <c r="D237">
        <v>1</v>
      </c>
      <c r="E237">
        <v>831.31</v>
      </c>
      <c r="F237">
        <v>831.31</v>
      </c>
      <c r="G237" t="str">
        <f t="shared" si="3"/>
        <v>December</v>
      </c>
      <c r="H237" s="1">
        <v>44533</v>
      </c>
      <c r="I237" t="s">
        <v>1073</v>
      </c>
      <c r="J237" t="s">
        <v>1079</v>
      </c>
    </row>
    <row r="238" spans="1:10" x14ac:dyDescent="0.3">
      <c r="A238" t="s">
        <v>1326</v>
      </c>
      <c r="B238" t="s">
        <v>218</v>
      </c>
      <c r="C238" t="s">
        <v>1097</v>
      </c>
      <c r="D238">
        <v>5</v>
      </c>
      <c r="E238">
        <v>1383.22</v>
      </c>
      <c r="F238">
        <v>6916.1</v>
      </c>
      <c r="G238" t="str">
        <f t="shared" si="3"/>
        <v>December</v>
      </c>
      <c r="H238" s="1">
        <v>43823</v>
      </c>
      <c r="I238" t="s">
        <v>1077</v>
      </c>
      <c r="J238" t="s">
        <v>1084</v>
      </c>
    </row>
    <row r="239" spans="1:10" x14ac:dyDescent="0.3">
      <c r="A239" t="s">
        <v>1327</v>
      </c>
      <c r="B239" t="s">
        <v>1006</v>
      </c>
      <c r="C239" t="s">
        <v>1109</v>
      </c>
      <c r="D239">
        <v>5</v>
      </c>
      <c r="E239">
        <v>1162.3499999999999</v>
      </c>
      <c r="F239">
        <v>5811.75</v>
      </c>
      <c r="G239" t="str">
        <f t="shared" si="3"/>
        <v>April</v>
      </c>
      <c r="H239" s="1">
        <v>45774</v>
      </c>
      <c r="I239" t="s">
        <v>1087</v>
      </c>
      <c r="J239" t="s">
        <v>1079</v>
      </c>
    </row>
    <row r="240" spans="1:10" x14ac:dyDescent="0.3">
      <c r="A240" t="s">
        <v>1328</v>
      </c>
      <c r="B240" t="s">
        <v>648</v>
      </c>
      <c r="C240" t="s">
        <v>1097</v>
      </c>
      <c r="D240">
        <v>1</v>
      </c>
      <c r="E240">
        <v>822.62</v>
      </c>
      <c r="F240">
        <v>822.62</v>
      </c>
      <c r="G240" t="str">
        <f t="shared" si="3"/>
        <v>June</v>
      </c>
      <c r="H240" s="1">
        <v>45105</v>
      </c>
      <c r="I240" t="s">
        <v>1095</v>
      </c>
      <c r="J240" t="s">
        <v>1082</v>
      </c>
    </row>
    <row r="241" spans="1:10" x14ac:dyDescent="0.3">
      <c r="A241" t="s">
        <v>1329</v>
      </c>
      <c r="B241" t="s">
        <v>1002</v>
      </c>
      <c r="C241" t="s">
        <v>1081</v>
      </c>
      <c r="D241">
        <v>5</v>
      </c>
      <c r="E241">
        <v>1625.03</v>
      </c>
      <c r="F241">
        <v>8125.15</v>
      </c>
      <c r="G241" t="str">
        <f t="shared" si="3"/>
        <v>January</v>
      </c>
      <c r="H241" s="1">
        <v>45679</v>
      </c>
      <c r="I241" t="s">
        <v>1073</v>
      </c>
      <c r="J241" t="s">
        <v>1079</v>
      </c>
    </row>
    <row r="242" spans="1:10" x14ac:dyDescent="0.3">
      <c r="A242" t="s">
        <v>1330</v>
      </c>
      <c r="B242" t="s">
        <v>98</v>
      </c>
      <c r="C242" t="s">
        <v>5</v>
      </c>
      <c r="D242">
        <v>2</v>
      </c>
      <c r="E242">
        <v>1828.56</v>
      </c>
      <c r="F242">
        <v>3657.12</v>
      </c>
      <c r="G242" t="str">
        <f t="shared" si="3"/>
        <v>February</v>
      </c>
      <c r="H242" s="1">
        <v>44612</v>
      </c>
      <c r="I242" t="s">
        <v>1089</v>
      </c>
      <c r="J242" t="s">
        <v>1084</v>
      </c>
    </row>
    <row r="243" spans="1:10" x14ac:dyDescent="0.3">
      <c r="A243" t="s">
        <v>1331</v>
      </c>
      <c r="B243" t="s">
        <v>428</v>
      </c>
      <c r="C243" t="s">
        <v>1106</v>
      </c>
      <c r="D243">
        <v>3</v>
      </c>
      <c r="E243">
        <v>65.97</v>
      </c>
      <c r="F243">
        <v>197.91</v>
      </c>
      <c r="G243" t="str">
        <f t="shared" si="3"/>
        <v>August</v>
      </c>
      <c r="H243" s="1">
        <v>44073</v>
      </c>
      <c r="I243" t="s">
        <v>1089</v>
      </c>
      <c r="J243" t="s">
        <v>1079</v>
      </c>
    </row>
    <row r="244" spans="1:10" x14ac:dyDescent="0.3">
      <c r="A244" t="s">
        <v>1332</v>
      </c>
      <c r="B244" t="s">
        <v>1044</v>
      </c>
      <c r="C244" t="s">
        <v>1072</v>
      </c>
      <c r="D244">
        <v>3</v>
      </c>
      <c r="E244">
        <v>81.84</v>
      </c>
      <c r="F244">
        <v>245.52</v>
      </c>
      <c r="G244" t="str">
        <f t="shared" si="3"/>
        <v>April</v>
      </c>
      <c r="H244" s="1">
        <v>45396</v>
      </c>
      <c r="I244" t="s">
        <v>1089</v>
      </c>
      <c r="J244" t="s">
        <v>1079</v>
      </c>
    </row>
    <row r="245" spans="1:10" x14ac:dyDescent="0.3">
      <c r="A245" t="s">
        <v>1333</v>
      </c>
      <c r="B245" t="s">
        <v>181</v>
      </c>
      <c r="C245" t="s">
        <v>1072</v>
      </c>
      <c r="D245">
        <v>5</v>
      </c>
      <c r="E245">
        <v>1436.01</v>
      </c>
      <c r="F245">
        <v>7180.05</v>
      </c>
      <c r="G245" t="str">
        <f t="shared" si="3"/>
        <v>April</v>
      </c>
      <c r="H245" s="1">
        <v>45017</v>
      </c>
      <c r="I245" t="s">
        <v>1095</v>
      </c>
      <c r="J245" t="s">
        <v>1079</v>
      </c>
    </row>
    <row r="246" spans="1:10" x14ac:dyDescent="0.3">
      <c r="A246" t="s">
        <v>1334</v>
      </c>
      <c r="B246" t="s">
        <v>418</v>
      </c>
      <c r="C246" t="s">
        <v>1106</v>
      </c>
      <c r="D246">
        <v>3</v>
      </c>
      <c r="E246">
        <v>1065.1500000000001</v>
      </c>
      <c r="F246">
        <v>3195.45</v>
      </c>
      <c r="G246" t="str">
        <f t="shared" si="3"/>
        <v>October</v>
      </c>
      <c r="H246" s="1">
        <v>44481</v>
      </c>
      <c r="I246" t="s">
        <v>1073</v>
      </c>
      <c r="J246" t="s">
        <v>1093</v>
      </c>
    </row>
    <row r="247" spans="1:10" x14ac:dyDescent="0.3">
      <c r="A247" t="s">
        <v>1335</v>
      </c>
      <c r="B247" t="s">
        <v>643</v>
      </c>
      <c r="C247" t="s">
        <v>1076</v>
      </c>
      <c r="D247">
        <v>4</v>
      </c>
      <c r="E247">
        <v>1830.4</v>
      </c>
      <c r="F247">
        <v>7321.6</v>
      </c>
      <c r="G247" t="str">
        <f t="shared" si="3"/>
        <v>July</v>
      </c>
      <c r="H247" s="1">
        <v>45110</v>
      </c>
      <c r="I247" t="s">
        <v>1089</v>
      </c>
      <c r="J247" t="s">
        <v>1093</v>
      </c>
    </row>
    <row r="248" spans="1:10" x14ac:dyDescent="0.3">
      <c r="A248" t="s">
        <v>1336</v>
      </c>
      <c r="B248" t="s">
        <v>634</v>
      </c>
      <c r="C248" t="s">
        <v>5</v>
      </c>
      <c r="D248">
        <v>2</v>
      </c>
      <c r="E248">
        <v>976.73</v>
      </c>
      <c r="F248">
        <v>1953.46</v>
      </c>
      <c r="G248" t="str">
        <f t="shared" si="3"/>
        <v>October</v>
      </c>
      <c r="H248" s="1">
        <v>44472</v>
      </c>
      <c r="I248" t="s">
        <v>1089</v>
      </c>
      <c r="J248" t="s">
        <v>1084</v>
      </c>
    </row>
    <row r="249" spans="1:10" x14ac:dyDescent="0.3">
      <c r="A249" t="s">
        <v>1337</v>
      </c>
      <c r="B249" t="s">
        <v>703</v>
      </c>
      <c r="C249" t="s">
        <v>1135</v>
      </c>
      <c r="D249">
        <v>5</v>
      </c>
      <c r="E249">
        <v>412.88</v>
      </c>
      <c r="F249">
        <v>2064.4</v>
      </c>
      <c r="G249" t="str">
        <f t="shared" si="3"/>
        <v>January</v>
      </c>
      <c r="H249" s="1">
        <v>45308</v>
      </c>
      <c r="I249" t="s">
        <v>1089</v>
      </c>
      <c r="J249" t="s">
        <v>1079</v>
      </c>
    </row>
    <row r="250" spans="1:10" x14ac:dyDescent="0.3">
      <c r="A250" t="s">
        <v>1338</v>
      </c>
      <c r="B250" t="s">
        <v>879</v>
      </c>
      <c r="C250" t="s">
        <v>1129</v>
      </c>
      <c r="D250">
        <v>5</v>
      </c>
      <c r="E250">
        <v>1937.71</v>
      </c>
      <c r="F250">
        <v>9688.5499999999993</v>
      </c>
      <c r="G250" t="str">
        <f t="shared" si="3"/>
        <v>May</v>
      </c>
      <c r="H250" s="1">
        <v>45422</v>
      </c>
      <c r="I250" t="s">
        <v>1095</v>
      </c>
      <c r="J250" t="s">
        <v>1093</v>
      </c>
    </row>
    <row r="251" spans="1:10" x14ac:dyDescent="0.3">
      <c r="A251" t="s">
        <v>1339</v>
      </c>
      <c r="B251" t="s">
        <v>297</v>
      </c>
      <c r="C251" t="s">
        <v>1097</v>
      </c>
      <c r="D251">
        <v>4</v>
      </c>
      <c r="E251">
        <v>1478.37</v>
      </c>
      <c r="F251">
        <v>5913.48</v>
      </c>
      <c r="G251" t="str">
        <f t="shared" si="3"/>
        <v>July</v>
      </c>
      <c r="H251" s="1">
        <v>45854</v>
      </c>
      <c r="I251" t="s">
        <v>1073</v>
      </c>
      <c r="J251" t="s">
        <v>1084</v>
      </c>
    </row>
    <row r="252" spans="1:10" x14ac:dyDescent="0.3">
      <c r="A252" t="s">
        <v>1340</v>
      </c>
      <c r="B252" t="s">
        <v>712</v>
      </c>
      <c r="C252" t="s">
        <v>1081</v>
      </c>
      <c r="D252">
        <v>4</v>
      </c>
      <c r="E252">
        <v>943.93</v>
      </c>
      <c r="F252">
        <v>3775.72</v>
      </c>
      <c r="G252" t="str">
        <f t="shared" si="3"/>
        <v>January</v>
      </c>
      <c r="H252" s="1">
        <v>44937</v>
      </c>
      <c r="I252" t="s">
        <v>1087</v>
      </c>
      <c r="J252" t="s">
        <v>1074</v>
      </c>
    </row>
    <row r="253" spans="1:10" x14ac:dyDescent="0.3">
      <c r="A253" t="s">
        <v>1341</v>
      </c>
      <c r="B253" t="s">
        <v>554</v>
      </c>
      <c r="C253" t="s">
        <v>1106</v>
      </c>
      <c r="D253">
        <v>2</v>
      </c>
      <c r="E253">
        <v>24.69</v>
      </c>
      <c r="F253">
        <v>49.38</v>
      </c>
      <c r="G253" t="str">
        <f t="shared" si="3"/>
        <v>November</v>
      </c>
      <c r="H253" s="1">
        <v>44148</v>
      </c>
      <c r="I253" t="s">
        <v>1095</v>
      </c>
      <c r="J253" t="s">
        <v>1093</v>
      </c>
    </row>
    <row r="254" spans="1:10" x14ac:dyDescent="0.3">
      <c r="A254" t="s">
        <v>1342</v>
      </c>
      <c r="B254" t="s">
        <v>669</v>
      </c>
      <c r="C254" t="s">
        <v>1081</v>
      </c>
      <c r="D254">
        <v>5</v>
      </c>
      <c r="E254">
        <v>397.55</v>
      </c>
      <c r="F254">
        <v>1987.75</v>
      </c>
      <c r="G254" t="str">
        <f t="shared" si="3"/>
        <v>May</v>
      </c>
      <c r="H254" s="1">
        <v>45413</v>
      </c>
      <c r="I254" t="s">
        <v>1095</v>
      </c>
      <c r="J254" t="s">
        <v>1082</v>
      </c>
    </row>
    <row r="255" spans="1:10" x14ac:dyDescent="0.3">
      <c r="A255" t="s">
        <v>1343</v>
      </c>
      <c r="B255" t="s">
        <v>698</v>
      </c>
      <c r="C255" t="s">
        <v>1081</v>
      </c>
      <c r="D255">
        <v>4</v>
      </c>
      <c r="E255">
        <v>1560.2</v>
      </c>
      <c r="F255">
        <v>6240.8</v>
      </c>
      <c r="G255" t="str">
        <f t="shared" si="3"/>
        <v>August</v>
      </c>
      <c r="H255" s="1">
        <v>44057</v>
      </c>
      <c r="I255" t="s">
        <v>1087</v>
      </c>
      <c r="J255" t="s">
        <v>1079</v>
      </c>
    </row>
    <row r="256" spans="1:10" x14ac:dyDescent="0.3">
      <c r="A256" t="s">
        <v>1344</v>
      </c>
      <c r="B256" t="s">
        <v>661</v>
      </c>
      <c r="C256" t="s">
        <v>1129</v>
      </c>
      <c r="D256">
        <v>4</v>
      </c>
      <c r="E256">
        <v>882.84</v>
      </c>
      <c r="F256">
        <v>3531.36</v>
      </c>
      <c r="G256" t="str">
        <f t="shared" si="3"/>
        <v>April</v>
      </c>
      <c r="H256" s="1">
        <v>43948</v>
      </c>
      <c r="I256" t="s">
        <v>1077</v>
      </c>
      <c r="J256" t="s">
        <v>1082</v>
      </c>
    </row>
    <row r="257" spans="1:10" x14ac:dyDescent="0.3">
      <c r="A257" t="s">
        <v>1345</v>
      </c>
      <c r="B257" t="s">
        <v>1015</v>
      </c>
      <c r="C257" t="s">
        <v>1135</v>
      </c>
      <c r="D257">
        <v>2</v>
      </c>
      <c r="E257">
        <v>747.42</v>
      </c>
      <c r="F257">
        <v>1494.84</v>
      </c>
      <c r="G257" t="str">
        <f t="shared" si="3"/>
        <v>November</v>
      </c>
      <c r="H257" s="1">
        <v>44161</v>
      </c>
      <c r="I257" t="s">
        <v>1095</v>
      </c>
      <c r="J257" t="s">
        <v>1079</v>
      </c>
    </row>
    <row r="258" spans="1:10" x14ac:dyDescent="0.3">
      <c r="A258" t="s">
        <v>1346</v>
      </c>
      <c r="B258" t="s">
        <v>308</v>
      </c>
      <c r="C258" t="s">
        <v>1106</v>
      </c>
      <c r="D258">
        <v>4</v>
      </c>
      <c r="E258">
        <v>125.84</v>
      </c>
      <c r="F258">
        <v>503.36</v>
      </c>
      <c r="G258" t="str">
        <f t="shared" si="3"/>
        <v>December</v>
      </c>
      <c r="H258" s="1">
        <v>45265</v>
      </c>
      <c r="I258" t="s">
        <v>1089</v>
      </c>
      <c r="J258" t="s">
        <v>1079</v>
      </c>
    </row>
    <row r="259" spans="1:10" x14ac:dyDescent="0.3">
      <c r="A259" t="s">
        <v>1347</v>
      </c>
      <c r="B259" t="s">
        <v>65</v>
      </c>
      <c r="C259" t="s">
        <v>1135</v>
      </c>
      <c r="D259">
        <v>3</v>
      </c>
      <c r="E259">
        <v>837.23</v>
      </c>
      <c r="F259">
        <v>2511.69</v>
      </c>
      <c r="G259" t="str">
        <f t="shared" ref="G259:G322" si="4">TEXT(H259,"mmmm")</f>
        <v>January</v>
      </c>
      <c r="H259" s="1">
        <v>44957</v>
      </c>
      <c r="I259" t="s">
        <v>1089</v>
      </c>
      <c r="J259" t="s">
        <v>1082</v>
      </c>
    </row>
    <row r="260" spans="1:10" x14ac:dyDescent="0.3">
      <c r="A260" t="s">
        <v>1348</v>
      </c>
      <c r="B260" t="s">
        <v>105</v>
      </c>
      <c r="C260" t="s">
        <v>1109</v>
      </c>
      <c r="D260">
        <v>4</v>
      </c>
      <c r="E260">
        <v>451.2</v>
      </c>
      <c r="F260">
        <v>1804.8</v>
      </c>
      <c r="G260" t="str">
        <f t="shared" si="4"/>
        <v>November</v>
      </c>
      <c r="H260" s="1">
        <v>44507</v>
      </c>
      <c r="I260" t="s">
        <v>1089</v>
      </c>
      <c r="J260" t="s">
        <v>1079</v>
      </c>
    </row>
    <row r="261" spans="1:10" x14ac:dyDescent="0.3">
      <c r="A261" t="s">
        <v>1349</v>
      </c>
      <c r="B261" t="s">
        <v>717</v>
      </c>
      <c r="C261" t="s">
        <v>1109</v>
      </c>
      <c r="D261">
        <v>4</v>
      </c>
      <c r="E261">
        <v>1392.94</v>
      </c>
      <c r="F261">
        <v>5571.76</v>
      </c>
      <c r="G261" t="str">
        <f t="shared" si="4"/>
        <v>March</v>
      </c>
      <c r="H261" s="1">
        <v>45739</v>
      </c>
      <c r="I261" t="s">
        <v>1087</v>
      </c>
      <c r="J261" t="s">
        <v>1079</v>
      </c>
    </row>
    <row r="262" spans="1:10" x14ac:dyDescent="0.3">
      <c r="A262" t="s">
        <v>1350</v>
      </c>
      <c r="B262" t="s">
        <v>643</v>
      </c>
      <c r="C262" t="s">
        <v>1091</v>
      </c>
      <c r="D262">
        <v>4</v>
      </c>
      <c r="E262">
        <v>1896.28</v>
      </c>
      <c r="F262">
        <v>7585.12</v>
      </c>
      <c r="G262" t="str">
        <f t="shared" si="4"/>
        <v>August</v>
      </c>
      <c r="H262" s="1">
        <v>45522</v>
      </c>
      <c r="I262" t="s">
        <v>1087</v>
      </c>
      <c r="J262" t="s">
        <v>1074</v>
      </c>
    </row>
    <row r="263" spans="1:10" x14ac:dyDescent="0.3">
      <c r="A263" t="s">
        <v>1351</v>
      </c>
      <c r="B263" t="s">
        <v>148</v>
      </c>
      <c r="C263" t="s">
        <v>1081</v>
      </c>
      <c r="D263">
        <v>3</v>
      </c>
      <c r="E263">
        <v>896.59</v>
      </c>
      <c r="F263">
        <v>2689.77</v>
      </c>
      <c r="G263" t="str">
        <f t="shared" si="4"/>
        <v>May</v>
      </c>
      <c r="H263" s="1">
        <v>43959</v>
      </c>
      <c r="I263" t="s">
        <v>1089</v>
      </c>
      <c r="J263" t="s">
        <v>1074</v>
      </c>
    </row>
    <row r="264" spans="1:10" x14ac:dyDescent="0.3">
      <c r="A264" t="s">
        <v>1352</v>
      </c>
      <c r="B264" t="s">
        <v>825</v>
      </c>
      <c r="C264" t="s">
        <v>1135</v>
      </c>
      <c r="D264">
        <v>1</v>
      </c>
      <c r="E264">
        <v>927.78</v>
      </c>
      <c r="F264">
        <v>927.78</v>
      </c>
      <c r="G264" t="str">
        <f t="shared" si="4"/>
        <v>August</v>
      </c>
      <c r="H264" s="1">
        <v>44781</v>
      </c>
      <c r="I264" t="s">
        <v>1095</v>
      </c>
      <c r="J264" t="s">
        <v>1074</v>
      </c>
    </row>
    <row r="265" spans="1:10" x14ac:dyDescent="0.3">
      <c r="A265" t="s">
        <v>1353</v>
      </c>
      <c r="B265" t="s">
        <v>1058</v>
      </c>
      <c r="C265" t="s">
        <v>1106</v>
      </c>
      <c r="D265">
        <v>3</v>
      </c>
      <c r="E265">
        <v>739.96</v>
      </c>
      <c r="F265">
        <v>2219.88</v>
      </c>
      <c r="G265" t="str">
        <f t="shared" si="4"/>
        <v>July</v>
      </c>
      <c r="H265" s="1">
        <v>44747</v>
      </c>
      <c r="I265" t="s">
        <v>1087</v>
      </c>
      <c r="J265" t="s">
        <v>1082</v>
      </c>
    </row>
    <row r="266" spans="1:10" x14ac:dyDescent="0.3">
      <c r="A266" t="s">
        <v>1354</v>
      </c>
      <c r="B266" t="s">
        <v>1039</v>
      </c>
      <c r="C266" t="s">
        <v>1081</v>
      </c>
      <c r="D266">
        <v>2</v>
      </c>
      <c r="E266">
        <v>712.55</v>
      </c>
      <c r="F266">
        <v>1425.1</v>
      </c>
      <c r="G266" t="str">
        <f t="shared" si="4"/>
        <v>June</v>
      </c>
      <c r="H266" s="1">
        <v>45092</v>
      </c>
      <c r="I266" t="s">
        <v>1077</v>
      </c>
      <c r="J266" t="s">
        <v>1093</v>
      </c>
    </row>
    <row r="267" spans="1:10" x14ac:dyDescent="0.3">
      <c r="A267" t="s">
        <v>1355</v>
      </c>
      <c r="B267" t="s">
        <v>783</v>
      </c>
      <c r="C267" t="s">
        <v>1091</v>
      </c>
      <c r="D267">
        <v>2</v>
      </c>
      <c r="E267">
        <v>150.63999999999999</v>
      </c>
      <c r="F267">
        <v>301.27999999999997</v>
      </c>
      <c r="G267" t="str">
        <f t="shared" si="4"/>
        <v>July</v>
      </c>
      <c r="H267" s="1">
        <v>44013</v>
      </c>
      <c r="I267" t="s">
        <v>1087</v>
      </c>
      <c r="J267" t="s">
        <v>1084</v>
      </c>
    </row>
    <row r="268" spans="1:10" x14ac:dyDescent="0.3">
      <c r="A268" t="s">
        <v>1356</v>
      </c>
      <c r="B268" t="s">
        <v>694</v>
      </c>
      <c r="C268" t="s">
        <v>1076</v>
      </c>
      <c r="D268">
        <v>4</v>
      </c>
      <c r="E268">
        <v>1996.9</v>
      </c>
      <c r="F268">
        <v>7987.6</v>
      </c>
      <c r="G268" t="str">
        <f t="shared" si="4"/>
        <v>December</v>
      </c>
      <c r="H268" s="1">
        <v>44904</v>
      </c>
      <c r="I268" t="s">
        <v>1077</v>
      </c>
      <c r="J268" t="s">
        <v>1074</v>
      </c>
    </row>
    <row r="269" spans="1:10" x14ac:dyDescent="0.3">
      <c r="A269" t="s">
        <v>1357</v>
      </c>
      <c r="B269" t="s">
        <v>533</v>
      </c>
      <c r="C269" t="s">
        <v>1106</v>
      </c>
      <c r="D269">
        <v>1</v>
      </c>
      <c r="E269">
        <v>1377.84</v>
      </c>
      <c r="F269">
        <v>1377.84</v>
      </c>
      <c r="G269" t="str">
        <f t="shared" si="4"/>
        <v>December</v>
      </c>
      <c r="H269" s="1">
        <v>45269</v>
      </c>
      <c r="I269" t="s">
        <v>1087</v>
      </c>
      <c r="J269" t="s">
        <v>1074</v>
      </c>
    </row>
    <row r="270" spans="1:10" x14ac:dyDescent="0.3">
      <c r="A270" t="s">
        <v>1358</v>
      </c>
      <c r="B270" t="s">
        <v>322</v>
      </c>
      <c r="C270" t="s">
        <v>1135</v>
      </c>
      <c r="D270">
        <v>3</v>
      </c>
      <c r="E270">
        <v>1039.56</v>
      </c>
      <c r="F270">
        <v>3118.68</v>
      </c>
      <c r="G270" t="str">
        <f t="shared" si="4"/>
        <v>July</v>
      </c>
      <c r="H270" s="1">
        <v>45130</v>
      </c>
      <c r="I270" t="s">
        <v>1095</v>
      </c>
      <c r="J270" t="s">
        <v>1093</v>
      </c>
    </row>
    <row r="271" spans="1:10" x14ac:dyDescent="0.3">
      <c r="A271" t="s">
        <v>1359</v>
      </c>
      <c r="B271" t="s">
        <v>669</v>
      </c>
      <c r="C271" t="s">
        <v>1081</v>
      </c>
      <c r="D271">
        <v>4</v>
      </c>
      <c r="E271">
        <v>1435.99</v>
      </c>
      <c r="F271">
        <v>5743.96</v>
      </c>
      <c r="G271" t="str">
        <f t="shared" si="4"/>
        <v>March</v>
      </c>
      <c r="H271" s="1">
        <v>43538</v>
      </c>
      <c r="I271" t="s">
        <v>1089</v>
      </c>
      <c r="J271" t="s">
        <v>1082</v>
      </c>
    </row>
    <row r="272" spans="1:10" x14ac:dyDescent="0.3">
      <c r="A272" t="s">
        <v>1360</v>
      </c>
      <c r="B272" t="s">
        <v>661</v>
      </c>
      <c r="C272" t="s">
        <v>1072</v>
      </c>
      <c r="D272">
        <v>2</v>
      </c>
      <c r="E272">
        <v>1680.14</v>
      </c>
      <c r="F272">
        <v>3360.28</v>
      </c>
      <c r="G272" t="str">
        <f t="shared" si="4"/>
        <v>October</v>
      </c>
      <c r="H272" s="1">
        <v>45934</v>
      </c>
      <c r="I272" t="s">
        <v>1077</v>
      </c>
      <c r="J272" t="s">
        <v>1084</v>
      </c>
    </row>
    <row r="273" spans="1:10" x14ac:dyDescent="0.3">
      <c r="A273" t="s">
        <v>1361</v>
      </c>
      <c r="B273" t="s">
        <v>175</v>
      </c>
      <c r="C273" t="s">
        <v>1072</v>
      </c>
      <c r="D273">
        <v>5</v>
      </c>
      <c r="E273">
        <v>1499.68</v>
      </c>
      <c r="F273">
        <v>7498.4</v>
      </c>
      <c r="G273" t="str">
        <f t="shared" si="4"/>
        <v>December</v>
      </c>
      <c r="H273" s="1">
        <v>45631</v>
      </c>
      <c r="I273" t="s">
        <v>1089</v>
      </c>
      <c r="J273" t="s">
        <v>1079</v>
      </c>
    </row>
    <row r="274" spans="1:10" x14ac:dyDescent="0.3">
      <c r="A274" t="s">
        <v>1362</v>
      </c>
      <c r="B274" t="s">
        <v>875</v>
      </c>
      <c r="C274" t="s">
        <v>5</v>
      </c>
      <c r="D274">
        <v>3</v>
      </c>
      <c r="E274">
        <v>188.95</v>
      </c>
      <c r="F274">
        <v>566.85</v>
      </c>
      <c r="G274" t="str">
        <f t="shared" si="4"/>
        <v>January</v>
      </c>
      <c r="H274" s="1">
        <v>45316</v>
      </c>
      <c r="I274" t="s">
        <v>1077</v>
      </c>
      <c r="J274" t="s">
        <v>1074</v>
      </c>
    </row>
    <row r="275" spans="1:10" x14ac:dyDescent="0.3">
      <c r="A275" t="s">
        <v>1363</v>
      </c>
      <c r="B275" t="s">
        <v>726</v>
      </c>
      <c r="C275" t="s">
        <v>1106</v>
      </c>
      <c r="D275">
        <v>1</v>
      </c>
      <c r="E275">
        <v>1112.23</v>
      </c>
      <c r="F275">
        <v>1112.23</v>
      </c>
      <c r="G275" t="str">
        <f t="shared" si="4"/>
        <v>October</v>
      </c>
      <c r="H275" s="1">
        <v>44852</v>
      </c>
      <c r="I275" t="s">
        <v>1077</v>
      </c>
      <c r="J275" t="s">
        <v>1084</v>
      </c>
    </row>
    <row r="276" spans="1:10" x14ac:dyDescent="0.3">
      <c r="A276" t="s">
        <v>1364</v>
      </c>
      <c r="B276" t="s">
        <v>224</v>
      </c>
      <c r="C276" t="s">
        <v>1135</v>
      </c>
      <c r="D276">
        <v>3</v>
      </c>
      <c r="E276">
        <v>50.43</v>
      </c>
      <c r="F276">
        <v>151.29</v>
      </c>
      <c r="G276" t="str">
        <f t="shared" si="4"/>
        <v>September</v>
      </c>
      <c r="H276" s="1">
        <v>45929</v>
      </c>
      <c r="I276" t="s">
        <v>1089</v>
      </c>
      <c r="J276" t="s">
        <v>1082</v>
      </c>
    </row>
    <row r="277" spans="1:10" x14ac:dyDescent="0.3">
      <c r="A277" t="s">
        <v>1365</v>
      </c>
      <c r="B277" t="s">
        <v>269</v>
      </c>
      <c r="C277" t="s">
        <v>1109</v>
      </c>
      <c r="D277">
        <v>4</v>
      </c>
      <c r="E277">
        <v>395.46</v>
      </c>
      <c r="F277">
        <v>1581.84</v>
      </c>
      <c r="G277" t="str">
        <f t="shared" si="4"/>
        <v>June</v>
      </c>
      <c r="H277" s="1">
        <v>45836</v>
      </c>
      <c r="I277" t="s">
        <v>1095</v>
      </c>
      <c r="J277" t="s">
        <v>1074</v>
      </c>
    </row>
    <row r="278" spans="1:10" x14ac:dyDescent="0.3">
      <c r="A278" t="s">
        <v>1366</v>
      </c>
      <c r="B278" t="s">
        <v>951</v>
      </c>
      <c r="C278" t="s">
        <v>1091</v>
      </c>
      <c r="D278">
        <v>5</v>
      </c>
      <c r="E278">
        <v>632.1</v>
      </c>
      <c r="F278">
        <v>3160.5</v>
      </c>
      <c r="G278" t="str">
        <f t="shared" si="4"/>
        <v>May</v>
      </c>
      <c r="H278" s="1">
        <v>45420</v>
      </c>
      <c r="I278" t="s">
        <v>1089</v>
      </c>
      <c r="J278" t="s">
        <v>1082</v>
      </c>
    </row>
    <row r="279" spans="1:10" x14ac:dyDescent="0.3">
      <c r="A279" t="s">
        <v>1367</v>
      </c>
      <c r="B279" t="s">
        <v>488</v>
      </c>
      <c r="C279" t="s">
        <v>1081</v>
      </c>
      <c r="D279">
        <v>4</v>
      </c>
      <c r="E279">
        <v>553.64</v>
      </c>
      <c r="F279">
        <v>2214.56</v>
      </c>
      <c r="G279" t="str">
        <f t="shared" si="4"/>
        <v>June</v>
      </c>
      <c r="H279" s="1">
        <v>44354</v>
      </c>
      <c r="I279" t="s">
        <v>1089</v>
      </c>
      <c r="J279" t="s">
        <v>1093</v>
      </c>
    </row>
    <row r="280" spans="1:10" x14ac:dyDescent="0.3">
      <c r="A280" t="s">
        <v>1368</v>
      </c>
      <c r="B280" t="s">
        <v>126</v>
      </c>
      <c r="C280" t="s">
        <v>1135</v>
      </c>
      <c r="D280">
        <v>5</v>
      </c>
      <c r="E280">
        <v>214.29</v>
      </c>
      <c r="F280">
        <v>1071.45</v>
      </c>
      <c r="G280" t="str">
        <f t="shared" si="4"/>
        <v>September</v>
      </c>
      <c r="H280" s="1">
        <v>44456</v>
      </c>
      <c r="I280" t="s">
        <v>1089</v>
      </c>
      <c r="J280" t="s">
        <v>1082</v>
      </c>
    </row>
    <row r="281" spans="1:10" x14ac:dyDescent="0.3">
      <c r="A281" t="s">
        <v>1369</v>
      </c>
      <c r="B281" t="s">
        <v>383</v>
      </c>
      <c r="C281" t="s">
        <v>5</v>
      </c>
      <c r="D281">
        <v>3</v>
      </c>
      <c r="E281">
        <v>1185.3499999999999</v>
      </c>
      <c r="F281">
        <v>3556.05</v>
      </c>
      <c r="G281" t="str">
        <f t="shared" si="4"/>
        <v>November</v>
      </c>
      <c r="H281" s="1">
        <v>43778</v>
      </c>
      <c r="I281" t="s">
        <v>1095</v>
      </c>
      <c r="J281" t="s">
        <v>1074</v>
      </c>
    </row>
    <row r="282" spans="1:10" x14ac:dyDescent="0.3">
      <c r="A282" t="s">
        <v>1370</v>
      </c>
      <c r="B282" t="s">
        <v>134</v>
      </c>
      <c r="C282" t="s">
        <v>1106</v>
      </c>
      <c r="D282">
        <v>4</v>
      </c>
      <c r="E282">
        <v>191.46</v>
      </c>
      <c r="F282">
        <v>765.84</v>
      </c>
      <c r="G282" t="str">
        <f t="shared" si="4"/>
        <v>March</v>
      </c>
      <c r="H282" s="1">
        <v>43905</v>
      </c>
      <c r="I282" t="s">
        <v>1077</v>
      </c>
      <c r="J282" t="s">
        <v>1093</v>
      </c>
    </row>
    <row r="283" spans="1:10" x14ac:dyDescent="0.3">
      <c r="A283" t="s">
        <v>1371</v>
      </c>
      <c r="B283" t="s">
        <v>292</v>
      </c>
      <c r="C283" t="s">
        <v>1109</v>
      </c>
      <c r="D283">
        <v>3</v>
      </c>
      <c r="E283">
        <v>1041.33</v>
      </c>
      <c r="F283">
        <v>3123.99</v>
      </c>
      <c r="G283" t="str">
        <f t="shared" si="4"/>
        <v>February</v>
      </c>
      <c r="H283" s="1">
        <v>44970</v>
      </c>
      <c r="I283" t="s">
        <v>1087</v>
      </c>
      <c r="J283" t="s">
        <v>1084</v>
      </c>
    </row>
    <row r="284" spans="1:10" x14ac:dyDescent="0.3">
      <c r="A284" t="s">
        <v>1372</v>
      </c>
      <c r="B284" t="s">
        <v>483</v>
      </c>
      <c r="C284" t="s">
        <v>5</v>
      </c>
      <c r="D284">
        <v>5</v>
      </c>
      <c r="E284">
        <v>1489.67</v>
      </c>
      <c r="F284">
        <v>7448.35</v>
      </c>
      <c r="G284" t="str">
        <f t="shared" si="4"/>
        <v>January</v>
      </c>
      <c r="H284" s="1">
        <v>45659</v>
      </c>
      <c r="I284" t="s">
        <v>1073</v>
      </c>
      <c r="J284" t="s">
        <v>1074</v>
      </c>
    </row>
    <row r="285" spans="1:10" x14ac:dyDescent="0.3">
      <c r="A285" t="s">
        <v>1373</v>
      </c>
      <c r="B285" t="s">
        <v>303</v>
      </c>
      <c r="C285" t="s">
        <v>1135</v>
      </c>
      <c r="D285">
        <v>5</v>
      </c>
      <c r="E285">
        <v>1757.16</v>
      </c>
      <c r="F285">
        <v>8785.7999999999993</v>
      </c>
      <c r="G285" t="str">
        <f t="shared" si="4"/>
        <v>November</v>
      </c>
      <c r="H285" s="1">
        <v>43787</v>
      </c>
      <c r="I285" t="s">
        <v>1095</v>
      </c>
      <c r="J285" t="s">
        <v>1082</v>
      </c>
    </row>
    <row r="286" spans="1:10" x14ac:dyDescent="0.3">
      <c r="A286" t="s">
        <v>1374</v>
      </c>
      <c r="B286" t="s">
        <v>749</v>
      </c>
      <c r="C286" t="s">
        <v>1072</v>
      </c>
      <c r="D286">
        <v>1</v>
      </c>
      <c r="E286">
        <v>1797.88</v>
      </c>
      <c r="F286">
        <v>1797.88</v>
      </c>
      <c r="G286" t="str">
        <f t="shared" si="4"/>
        <v>March</v>
      </c>
      <c r="H286" s="1">
        <v>44628</v>
      </c>
      <c r="I286" t="s">
        <v>1073</v>
      </c>
      <c r="J286" t="s">
        <v>1074</v>
      </c>
    </row>
    <row r="287" spans="1:10" x14ac:dyDescent="0.3">
      <c r="A287" t="s">
        <v>1375</v>
      </c>
      <c r="B287" t="s">
        <v>113</v>
      </c>
      <c r="C287" t="s">
        <v>1106</v>
      </c>
      <c r="D287">
        <v>4</v>
      </c>
      <c r="E287">
        <v>776.51</v>
      </c>
      <c r="F287">
        <v>3106.04</v>
      </c>
      <c r="G287" t="str">
        <f t="shared" si="4"/>
        <v>January</v>
      </c>
      <c r="H287" s="1">
        <v>45685</v>
      </c>
      <c r="I287" t="s">
        <v>1087</v>
      </c>
      <c r="J287" t="s">
        <v>1074</v>
      </c>
    </row>
    <row r="288" spans="1:10" x14ac:dyDescent="0.3">
      <c r="A288" t="s">
        <v>1376</v>
      </c>
      <c r="B288" t="s">
        <v>753</v>
      </c>
      <c r="C288" t="s">
        <v>1106</v>
      </c>
      <c r="D288">
        <v>5</v>
      </c>
      <c r="E288">
        <v>1212.79</v>
      </c>
      <c r="F288">
        <v>6063.95</v>
      </c>
      <c r="G288" t="str">
        <f t="shared" si="4"/>
        <v>April</v>
      </c>
      <c r="H288" s="1">
        <v>43575</v>
      </c>
      <c r="I288" t="s">
        <v>1077</v>
      </c>
      <c r="J288" t="s">
        <v>1084</v>
      </c>
    </row>
    <row r="289" spans="1:10" x14ac:dyDescent="0.3">
      <c r="A289" t="s">
        <v>1377</v>
      </c>
      <c r="B289" t="s">
        <v>423</v>
      </c>
      <c r="C289" t="s">
        <v>1097</v>
      </c>
      <c r="D289">
        <v>5</v>
      </c>
      <c r="E289">
        <v>389.22</v>
      </c>
      <c r="F289">
        <v>1946.1</v>
      </c>
      <c r="G289" t="str">
        <f t="shared" si="4"/>
        <v>June</v>
      </c>
      <c r="H289" s="1">
        <v>45469</v>
      </c>
      <c r="I289" t="s">
        <v>1087</v>
      </c>
      <c r="J289" t="s">
        <v>1082</v>
      </c>
    </row>
    <row r="290" spans="1:10" x14ac:dyDescent="0.3">
      <c r="A290" t="s">
        <v>1378</v>
      </c>
      <c r="B290" t="s">
        <v>401</v>
      </c>
      <c r="C290" t="s">
        <v>1106</v>
      </c>
      <c r="D290">
        <v>3</v>
      </c>
      <c r="E290">
        <v>265.11</v>
      </c>
      <c r="F290">
        <v>795.33</v>
      </c>
      <c r="G290" t="str">
        <f t="shared" si="4"/>
        <v>August</v>
      </c>
      <c r="H290" s="1">
        <v>45884</v>
      </c>
      <c r="I290" t="s">
        <v>1095</v>
      </c>
      <c r="J290" t="s">
        <v>1074</v>
      </c>
    </row>
    <row r="291" spans="1:10" x14ac:dyDescent="0.3">
      <c r="A291" t="s">
        <v>1379</v>
      </c>
      <c r="B291" t="s">
        <v>783</v>
      </c>
      <c r="C291" t="s">
        <v>1129</v>
      </c>
      <c r="D291">
        <v>1</v>
      </c>
      <c r="E291">
        <v>1729.84</v>
      </c>
      <c r="F291">
        <v>1729.84</v>
      </c>
      <c r="G291" t="str">
        <f t="shared" si="4"/>
        <v>January</v>
      </c>
      <c r="H291" s="1">
        <v>45296</v>
      </c>
      <c r="I291" t="s">
        <v>1077</v>
      </c>
      <c r="J291" t="s">
        <v>1079</v>
      </c>
    </row>
    <row r="292" spans="1:10" x14ac:dyDescent="0.3">
      <c r="A292" t="s">
        <v>1380</v>
      </c>
      <c r="B292" t="s">
        <v>961</v>
      </c>
      <c r="C292" t="s">
        <v>1135</v>
      </c>
      <c r="D292">
        <v>1</v>
      </c>
      <c r="E292">
        <v>1452.7</v>
      </c>
      <c r="F292">
        <v>1452.7</v>
      </c>
      <c r="G292" t="str">
        <f t="shared" si="4"/>
        <v>February</v>
      </c>
      <c r="H292" s="1">
        <v>45323</v>
      </c>
      <c r="I292" t="s">
        <v>1087</v>
      </c>
      <c r="J292" t="s">
        <v>1093</v>
      </c>
    </row>
    <row r="293" spans="1:10" x14ac:dyDescent="0.3">
      <c r="A293" t="s">
        <v>1381</v>
      </c>
      <c r="B293" t="s">
        <v>735</v>
      </c>
      <c r="C293" t="s">
        <v>1135</v>
      </c>
      <c r="D293">
        <v>4</v>
      </c>
      <c r="E293">
        <v>1058.74</v>
      </c>
      <c r="F293">
        <v>4234.96</v>
      </c>
      <c r="G293" t="str">
        <f t="shared" si="4"/>
        <v>August</v>
      </c>
      <c r="H293" s="1">
        <v>45534</v>
      </c>
      <c r="I293" t="s">
        <v>1073</v>
      </c>
      <c r="J293" t="s">
        <v>1082</v>
      </c>
    </row>
    <row r="294" spans="1:10" x14ac:dyDescent="0.3">
      <c r="A294" t="s">
        <v>1382</v>
      </c>
      <c r="B294" t="s">
        <v>504</v>
      </c>
      <c r="C294" t="s">
        <v>1072</v>
      </c>
      <c r="D294">
        <v>1</v>
      </c>
      <c r="E294">
        <v>1074.92</v>
      </c>
      <c r="F294">
        <v>1074.92</v>
      </c>
      <c r="G294" t="str">
        <f t="shared" si="4"/>
        <v>October</v>
      </c>
      <c r="H294" s="1">
        <v>45204</v>
      </c>
      <c r="I294" t="s">
        <v>1095</v>
      </c>
      <c r="J294" t="s">
        <v>1074</v>
      </c>
    </row>
    <row r="295" spans="1:10" x14ac:dyDescent="0.3">
      <c r="A295" t="s">
        <v>1383</v>
      </c>
      <c r="B295" t="s">
        <v>740</v>
      </c>
      <c r="C295" t="s">
        <v>1091</v>
      </c>
      <c r="D295">
        <v>4</v>
      </c>
      <c r="E295">
        <v>310.35000000000002</v>
      </c>
      <c r="F295">
        <v>1241.4000000000001</v>
      </c>
      <c r="G295" t="str">
        <f t="shared" si="4"/>
        <v>April</v>
      </c>
      <c r="H295" s="1">
        <v>43557</v>
      </c>
      <c r="I295" t="s">
        <v>1077</v>
      </c>
      <c r="J295" t="s">
        <v>1084</v>
      </c>
    </row>
    <row r="296" spans="1:10" x14ac:dyDescent="0.3">
      <c r="A296" t="s">
        <v>1384</v>
      </c>
      <c r="B296" t="s">
        <v>332</v>
      </c>
      <c r="C296" t="s">
        <v>1106</v>
      </c>
      <c r="D296">
        <v>2</v>
      </c>
      <c r="E296">
        <v>104.22</v>
      </c>
      <c r="F296">
        <v>208.44</v>
      </c>
      <c r="G296" t="str">
        <f t="shared" si="4"/>
        <v>March</v>
      </c>
      <c r="H296" s="1">
        <v>44646</v>
      </c>
      <c r="I296" t="s">
        <v>1077</v>
      </c>
      <c r="J296" t="s">
        <v>1082</v>
      </c>
    </row>
    <row r="297" spans="1:10" x14ac:dyDescent="0.3">
      <c r="A297" t="s">
        <v>1385</v>
      </c>
      <c r="B297" t="s">
        <v>830</v>
      </c>
      <c r="C297" t="s">
        <v>5</v>
      </c>
      <c r="D297">
        <v>5</v>
      </c>
      <c r="E297">
        <v>1351.99</v>
      </c>
      <c r="F297">
        <v>6759.95</v>
      </c>
      <c r="G297" t="str">
        <f t="shared" si="4"/>
        <v>February</v>
      </c>
      <c r="H297" s="1">
        <v>45327</v>
      </c>
      <c r="I297" t="s">
        <v>1095</v>
      </c>
      <c r="J297" t="s">
        <v>1079</v>
      </c>
    </row>
    <row r="298" spans="1:10" x14ac:dyDescent="0.3">
      <c r="A298" t="s">
        <v>1386</v>
      </c>
      <c r="B298" t="s">
        <v>37</v>
      </c>
      <c r="C298" t="s">
        <v>1072</v>
      </c>
      <c r="D298">
        <v>5</v>
      </c>
      <c r="E298">
        <v>435.41</v>
      </c>
      <c r="F298">
        <v>2177.0500000000002</v>
      </c>
      <c r="G298" t="str">
        <f t="shared" si="4"/>
        <v>July</v>
      </c>
      <c r="H298" s="1">
        <v>43661</v>
      </c>
      <c r="I298" t="s">
        <v>1087</v>
      </c>
      <c r="J298" t="s">
        <v>1084</v>
      </c>
    </row>
    <row r="299" spans="1:10" x14ac:dyDescent="0.3">
      <c r="A299" t="s">
        <v>1387</v>
      </c>
      <c r="B299" t="s">
        <v>712</v>
      </c>
      <c r="C299" t="s">
        <v>5</v>
      </c>
      <c r="D299">
        <v>1</v>
      </c>
      <c r="E299">
        <v>302.68</v>
      </c>
      <c r="F299">
        <v>302.68</v>
      </c>
      <c r="G299" t="str">
        <f t="shared" si="4"/>
        <v>July</v>
      </c>
      <c r="H299" s="1">
        <v>44020</v>
      </c>
      <c r="I299" t="s">
        <v>1087</v>
      </c>
      <c r="J299" t="s">
        <v>1074</v>
      </c>
    </row>
    <row r="300" spans="1:10" x14ac:dyDescent="0.3">
      <c r="A300" t="s">
        <v>1388</v>
      </c>
      <c r="B300" t="s">
        <v>698</v>
      </c>
      <c r="C300" t="s">
        <v>1076</v>
      </c>
      <c r="D300">
        <v>3</v>
      </c>
      <c r="E300">
        <v>1084.17</v>
      </c>
      <c r="F300">
        <v>3252.51</v>
      </c>
      <c r="G300" t="str">
        <f t="shared" si="4"/>
        <v>November</v>
      </c>
      <c r="H300" s="1">
        <v>44152</v>
      </c>
      <c r="I300" t="s">
        <v>1077</v>
      </c>
      <c r="J300" t="s">
        <v>1074</v>
      </c>
    </row>
    <row r="301" spans="1:10" x14ac:dyDescent="0.3">
      <c r="A301" t="s">
        <v>1389</v>
      </c>
      <c r="B301" t="s">
        <v>985</v>
      </c>
      <c r="C301" t="s">
        <v>1091</v>
      </c>
      <c r="D301">
        <v>3</v>
      </c>
      <c r="E301">
        <v>735.13</v>
      </c>
      <c r="F301">
        <v>2205.39</v>
      </c>
      <c r="G301" t="str">
        <f t="shared" si="4"/>
        <v>June</v>
      </c>
      <c r="H301" s="1">
        <v>43984</v>
      </c>
      <c r="I301" t="s">
        <v>1077</v>
      </c>
      <c r="J301" t="s">
        <v>1082</v>
      </c>
    </row>
    <row r="302" spans="1:10" x14ac:dyDescent="0.3">
      <c r="A302" t="s">
        <v>1390</v>
      </c>
      <c r="B302" t="s">
        <v>614</v>
      </c>
      <c r="C302" t="s">
        <v>1091</v>
      </c>
      <c r="D302">
        <v>2</v>
      </c>
      <c r="E302">
        <v>753.94</v>
      </c>
      <c r="F302">
        <v>1507.88</v>
      </c>
      <c r="G302" t="str">
        <f t="shared" si="4"/>
        <v>June</v>
      </c>
      <c r="H302" s="1">
        <v>43998</v>
      </c>
      <c r="I302" t="s">
        <v>1077</v>
      </c>
      <c r="J302" t="s">
        <v>1082</v>
      </c>
    </row>
    <row r="303" spans="1:10" x14ac:dyDescent="0.3">
      <c r="A303" t="s">
        <v>1391</v>
      </c>
      <c r="B303" t="s">
        <v>218</v>
      </c>
      <c r="C303" t="s">
        <v>1109</v>
      </c>
      <c r="D303">
        <v>4</v>
      </c>
      <c r="E303">
        <v>33.76</v>
      </c>
      <c r="F303">
        <v>135.04</v>
      </c>
      <c r="G303" t="str">
        <f t="shared" si="4"/>
        <v>May</v>
      </c>
      <c r="H303" s="1">
        <v>43609</v>
      </c>
      <c r="I303" t="s">
        <v>1089</v>
      </c>
      <c r="J303" t="s">
        <v>1079</v>
      </c>
    </row>
    <row r="304" spans="1:10" x14ac:dyDescent="0.3">
      <c r="A304" t="s">
        <v>1392</v>
      </c>
      <c r="B304" t="s">
        <v>308</v>
      </c>
      <c r="C304" t="s">
        <v>1081</v>
      </c>
      <c r="D304">
        <v>2</v>
      </c>
      <c r="E304">
        <v>598.70000000000005</v>
      </c>
      <c r="F304">
        <v>1197.4000000000001</v>
      </c>
      <c r="G304" t="str">
        <f t="shared" si="4"/>
        <v>January</v>
      </c>
      <c r="H304" s="1">
        <v>43475</v>
      </c>
      <c r="I304" t="s">
        <v>1077</v>
      </c>
      <c r="J304" t="s">
        <v>1082</v>
      </c>
    </row>
    <row r="305" spans="1:10" x14ac:dyDescent="0.3">
      <c r="A305" t="s">
        <v>1393</v>
      </c>
      <c r="B305" t="s">
        <v>303</v>
      </c>
      <c r="C305" t="s">
        <v>1106</v>
      </c>
      <c r="D305">
        <v>1</v>
      </c>
      <c r="E305">
        <v>798.78</v>
      </c>
      <c r="F305">
        <v>798.78</v>
      </c>
      <c r="G305" t="str">
        <f t="shared" si="4"/>
        <v>July</v>
      </c>
      <c r="H305" s="1">
        <v>44015</v>
      </c>
      <c r="I305" t="s">
        <v>1073</v>
      </c>
      <c r="J305" t="s">
        <v>1074</v>
      </c>
    </row>
    <row r="306" spans="1:10" x14ac:dyDescent="0.3">
      <c r="A306" t="s">
        <v>1394</v>
      </c>
      <c r="B306" t="s">
        <v>383</v>
      </c>
      <c r="C306" t="s">
        <v>5</v>
      </c>
      <c r="D306">
        <v>2</v>
      </c>
      <c r="E306">
        <v>1748.67</v>
      </c>
      <c r="F306">
        <v>3497.34</v>
      </c>
      <c r="G306" t="str">
        <f t="shared" si="4"/>
        <v>January</v>
      </c>
      <c r="H306" s="1">
        <v>45304</v>
      </c>
      <c r="I306" t="s">
        <v>1077</v>
      </c>
      <c r="J306" t="s">
        <v>1079</v>
      </c>
    </row>
    <row r="307" spans="1:10" x14ac:dyDescent="0.3">
      <c r="A307" t="s">
        <v>1395</v>
      </c>
      <c r="B307" t="s">
        <v>433</v>
      </c>
      <c r="C307" t="s">
        <v>5</v>
      </c>
      <c r="D307">
        <v>3</v>
      </c>
      <c r="E307">
        <v>574.97</v>
      </c>
      <c r="F307">
        <v>1724.91</v>
      </c>
      <c r="G307" t="str">
        <f t="shared" si="4"/>
        <v>July</v>
      </c>
      <c r="H307" s="1">
        <v>44019</v>
      </c>
      <c r="I307" t="s">
        <v>1095</v>
      </c>
      <c r="J307" t="s">
        <v>1093</v>
      </c>
    </row>
    <row r="308" spans="1:10" x14ac:dyDescent="0.3">
      <c r="A308" t="s">
        <v>1396</v>
      </c>
      <c r="B308" t="s">
        <v>269</v>
      </c>
      <c r="C308" t="s">
        <v>1097</v>
      </c>
      <c r="D308">
        <v>3</v>
      </c>
      <c r="E308">
        <v>1477.56</v>
      </c>
      <c r="F308">
        <v>4432.68</v>
      </c>
      <c r="G308" t="str">
        <f t="shared" si="4"/>
        <v>October</v>
      </c>
      <c r="H308" s="1">
        <v>43743</v>
      </c>
      <c r="I308" t="s">
        <v>1073</v>
      </c>
      <c r="J308" t="s">
        <v>1082</v>
      </c>
    </row>
    <row r="309" spans="1:10" x14ac:dyDescent="0.3">
      <c r="A309" t="s">
        <v>1397</v>
      </c>
      <c r="B309" t="s">
        <v>1058</v>
      </c>
      <c r="C309" t="s">
        <v>1129</v>
      </c>
      <c r="D309">
        <v>3</v>
      </c>
      <c r="E309">
        <v>1138.18</v>
      </c>
      <c r="F309">
        <v>3414.54</v>
      </c>
      <c r="G309" t="str">
        <f t="shared" si="4"/>
        <v>February</v>
      </c>
      <c r="H309" s="1">
        <v>44973</v>
      </c>
      <c r="I309" t="s">
        <v>1095</v>
      </c>
      <c r="J309" t="s">
        <v>1079</v>
      </c>
    </row>
    <row r="310" spans="1:10" x14ac:dyDescent="0.3">
      <c r="A310" t="s">
        <v>1398</v>
      </c>
      <c r="B310" t="s">
        <v>240</v>
      </c>
      <c r="C310" t="s">
        <v>1076</v>
      </c>
      <c r="D310">
        <v>4</v>
      </c>
      <c r="E310">
        <v>456.63</v>
      </c>
      <c r="F310">
        <v>1826.52</v>
      </c>
      <c r="G310" t="str">
        <f t="shared" si="4"/>
        <v>October</v>
      </c>
      <c r="H310" s="1">
        <v>44863</v>
      </c>
      <c r="I310" t="s">
        <v>1089</v>
      </c>
      <c r="J310" t="s">
        <v>1084</v>
      </c>
    </row>
    <row r="311" spans="1:10" x14ac:dyDescent="0.3">
      <c r="A311" t="s">
        <v>1399</v>
      </c>
      <c r="B311" t="s">
        <v>352</v>
      </c>
      <c r="C311" t="s">
        <v>1135</v>
      </c>
      <c r="D311">
        <v>3</v>
      </c>
      <c r="E311">
        <v>1547.02</v>
      </c>
      <c r="F311">
        <v>4641.0600000000004</v>
      </c>
      <c r="G311" t="str">
        <f t="shared" si="4"/>
        <v>August</v>
      </c>
      <c r="H311" s="1">
        <v>45523</v>
      </c>
      <c r="I311" t="s">
        <v>1087</v>
      </c>
      <c r="J311" t="s">
        <v>1074</v>
      </c>
    </row>
    <row r="312" spans="1:10" x14ac:dyDescent="0.3">
      <c r="A312" t="s">
        <v>1400</v>
      </c>
      <c r="B312" t="s">
        <v>843</v>
      </c>
      <c r="C312" t="s">
        <v>1109</v>
      </c>
      <c r="D312">
        <v>3</v>
      </c>
      <c r="E312">
        <v>1022.79</v>
      </c>
      <c r="F312">
        <v>3068.37</v>
      </c>
      <c r="G312" t="str">
        <f t="shared" si="4"/>
        <v>July</v>
      </c>
      <c r="H312" s="1">
        <v>45487</v>
      </c>
      <c r="I312" t="s">
        <v>1087</v>
      </c>
      <c r="J312" t="s">
        <v>1082</v>
      </c>
    </row>
    <row r="313" spans="1:10" x14ac:dyDescent="0.3">
      <c r="A313" t="s">
        <v>1401</v>
      </c>
      <c r="B313" t="s">
        <v>280</v>
      </c>
      <c r="C313" t="s">
        <v>1135</v>
      </c>
      <c r="D313">
        <v>1</v>
      </c>
      <c r="E313">
        <v>1924.39</v>
      </c>
      <c r="F313">
        <v>1924.39</v>
      </c>
      <c r="G313" t="str">
        <f t="shared" si="4"/>
        <v>September</v>
      </c>
      <c r="H313" s="1">
        <v>45906</v>
      </c>
      <c r="I313" t="s">
        <v>1073</v>
      </c>
      <c r="J313" t="s">
        <v>1074</v>
      </c>
    </row>
    <row r="314" spans="1:10" x14ac:dyDescent="0.3">
      <c r="A314" t="s">
        <v>1402</v>
      </c>
      <c r="B314" t="s">
        <v>65</v>
      </c>
      <c r="C314" t="s">
        <v>1135</v>
      </c>
      <c r="D314">
        <v>5</v>
      </c>
      <c r="E314">
        <v>80.94</v>
      </c>
      <c r="F314">
        <v>404.7</v>
      </c>
      <c r="G314" t="str">
        <f t="shared" si="4"/>
        <v>January</v>
      </c>
      <c r="H314" s="1">
        <v>43471</v>
      </c>
      <c r="I314" t="s">
        <v>1089</v>
      </c>
      <c r="J314" t="s">
        <v>1079</v>
      </c>
    </row>
    <row r="315" spans="1:10" x14ac:dyDescent="0.3">
      <c r="A315" t="s">
        <v>1403</v>
      </c>
      <c r="B315" t="s">
        <v>121</v>
      </c>
      <c r="C315" t="s">
        <v>1109</v>
      </c>
      <c r="D315">
        <v>1</v>
      </c>
      <c r="E315">
        <v>481.48</v>
      </c>
      <c r="F315">
        <v>481.48</v>
      </c>
      <c r="G315" t="str">
        <f t="shared" si="4"/>
        <v>June</v>
      </c>
      <c r="H315" s="1">
        <v>44740</v>
      </c>
      <c r="I315" t="s">
        <v>1077</v>
      </c>
      <c r="J315" t="s">
        <v>1074</v>
      </c>
    </row>
    <row r="316" spans="1:10" x14ac:dyDescent="0.3">
      <c r="A316" t="s">
        <v>1404</v>
      </c>
      <c r="B316" t="s">
        <v>533</v>
      </c>
      <c r="C316" t="s">
        <v>5</v>
      </c>
      <c r="D316">
        <v>1</v>
      </c>
      <c r="E316">
        <v>1921.91</v>
      </c>
      <c r="F316">
        <v>1921.91</v>
      </c>
      <c r="G316" t="str">
        <f t="shared" si="4"/>
        <v>January</v>
      </c>
      <c r="H316" s="1">
        <v>45315</v>
      </c>
      <c r="I316" t="s">
        <v>1073</v>
      </c>
      <c r="J316" t="s">
        <v>1093</v>
      </c>
    </row>
    <row r="317" spans="1:10" x14ac:dyDescent="0.3">
      <c r="A317" t="s">
        <v>1405</v>
      </c>
      <c r="B317" t="s">
        <v>839</v>
      </c>
      <c r="C317" t="s">
        <v>1129</v>
      </c>
      <c r="D317">
        <v>1</v>
      </c>
      <c r="E317">
        <v>229.19</v>
      </c>
      <c r="F317">
        <v>229.19</v>
      </c>
      <c r="G317" t="str">
        <f t="shared" si="4"/>
        <v>June</v>
      </c>
      <c r="H317" s="1">
        <v>43985</v>
      </c>
      <c r="I317" t="s">
        <v>1089</v>
      </c>
      <c r="J317" t="s">
        <v>1093</v>
      </c>
    </row>
    <row r="318" spans="1:10" x14ac:dyDescent="0.3">
      <c r="A318" t="s">
        <v>1406</v>
      </c>
      <c r="B318" t="s">
        <v>898</v>
      </c>
      <c r="C318" t="s">
        <v>5</v>
      </c>
      <c r="D318">
        <v>3</v>
      </c>
      <c r="E318">
        <v>621.65</v>
      </c>
      <c r="F318">
        <v>1864.95</v>
      </c>
      <c r="G318" t="str">
        <f t="shared" si="4"/>
        <v>January</v>
      </c>
      <c r="H318" s="1">
        <v>43478</v>
      </c>
      <c r="I318" t="s">
        <v>1077</v>
      </c>
      <c r="J318" t="s">
        <v>1079</v>
      </c>
    </row>
    <row r="319" spans="1:10" x14ac:dyDescent="0.3">
      <c r="A319" t="s">
        <v>1407</v>
      </c>
      <c r="B319" t="s">
        <v>338</v>
      </c>
      <c r="C319" t="s">
        <v>1081</v>
      </c>
      <c r="D319">
        <v>5</v>
      </c>
      <c r="E319">
        <v>242.55</v>
      </c>
      <c r="F319">
        <v>1212.75</v>
      </c>
      <c r="G319" t="str">
        <f t="shared" si="4"/>
        <v>June</v>
      </c>
      <c r="H319" s="1">
        <v>45104</v>
      </c>
      <c r="I319" t="s">
        <v>1073</v>
      </c>
      <c r="J319" t="s">
        <v>1082</v>
      </c>
    </row>
    <row r="320" spans="1:10" x14ac:dyDescent="0.3">
      <c r="A320" t="s">
        <v>1408</v>
      </c>
      <c r="B320" t="s">
        <v>665</v>
      </c>
      <c r="C320" t="s">
        <v>5</v>
      </c>
      <c r="D320">
        <v>3</v>
      </c>
      <c r="E320">
        <v>1746.18</v>
      </c>
      <c r="F320">
        <v>5238.54</v>
      </c>
      <c r="G320" t="str">
        <f t="shared" si="4"/>
        <v>October</v>
      </c>
      <c r="H320" s="1">
        <v>44854</v>
      </c>
      <c r="I320" t="s">
        <v>1077</v>
      </c>
      <c r="J320" t="s">
        <v>1079</v>
      </c>
    </row>
    <row r="321" spans="1:10" x14ac:dyDescent="0.3">
      <c r="A321" t="s">
        <v>1409</v>
      </c>
      <c r="B321" t="s">
        <v>913</v>
      </c>
      <c r="C321" t="s">
        <v>1109</v>
      </c>
      <c r="D321">
        <v>2</v>
      </c>
      <c r="E321">
        <v>1050.4000000000001</v>
      </c>
      <c r="F321">
        <v>2100.8000000000002</v>
      </c>
      <c r="G321" t="str">
        <f t="shared" si="4"/>
        <v>February</v>
      </c>
      <c r="H321" s="1">
        <v>45338</v>
      </c>
      <c r="I321" t="s">
        <v>1087</v>
      </c>
      <c r="J321" t="s">
        <v>1093</v>
      </c>
    </row>
    <row r="322" spans="1:10" x14ac:dyDescent="0.3">
      <c r="A322" t="s">
        <v>1410</v>
      </c>
      <c r="B322" t="s">
        <v>229</v>
      </c>
      <c r="C322" t="s">
        <v>1109</v>
      </c>
      <c r="D322">
        <v>3</v>
      </c>
      <c r="E322">
        <v>749.63</v>
      </c>
      <c r="F322">
        <v>2248.89</v>
      </c>
      <c r="G322" t="str">
        <f t="shared" si="4"/>
        <v>March</v>
      </c>
      <c r="H322" s="1">
        <v>43921</v>
      </c>
      <c r="I322" t="s">
        <v>1077</v>
      </c>
      <c r="J322" t="s">
        <v>1084</v>
      </c>
    </row>
    <row r="323" spans="1:10" x14ac:dyDescent="0.3">
      <c r="A323" t="s">
        <v>1411</v>
      </c>
      <c r="B323" t="s">
        <v>712</v>
      </c>
      <c r="C323" t="s">
        <v>1076</v>
      </c>
      <c r="D323">
        <v>5</v>
      </c>
      <c r="E323">
        <v>621.26</v>
      </c>
      <c r="F323">
        <v>3106.3</v>
      </c>
      <c r="G323" t="str">
        <f t="shared" ref="G323:G386" si="5">TEXT(H323,"mmmm")</f>
        <v>December</v>
      </c>
      <c r="H323" s="1">
        <v>44913</v>
      </c>
      <c r="I323" t="s">
        <v>1095</v>
      </c>
      <c r="J323" t="s">
        <v>1079</v>
      </c>
    </row>
    <row r="324" spans="1:10" x14ac:dyDescent="0.3">
      <c r="A324" t="s">
        <v>1412</v>
      </c>
      <c r="B324" t="s">
        <v>218</v>
      </c>
      <c r="C324" t="s">
        <v>1106</v>
      </c>
      <c r="D324">
        <v>4</v>
      </c>
      <c r="E324">
        <v>668.35</v>
      </c>
      <c r="F324">
        <v>2673.4</v>
      </c>
      <c r="G324" t="str">
        <f t="shared" si="5"/>
        <v>May</v>
      </c>
      <c r="H324" s="1">
        <v>44707</v>
      </c>
      <c r="I324" t="s">
        <v>1089</v>
      </c>
      <c r="J324" t="s">
        <v>1079</v>
      </c>
    </row>
    <row r="325" spans="1:10" x14ac:dyDescent="0.3">
      <c r="A325" t="s">
        <v>1413</v>
      </c>
      <c r="B325" t="s">
        <v>852</v>
      </c>
      <c r="C325" t="s">
        <v>1081</v>
      </c>
      <c r="D325">
        <v>5</v>
      </c>
      <c r="E325">
        <v>1222.83</v>
      </c>
      <c r="F325">
        <v>6114.15</v>
      </c>
      <c r="G325" t="str">
        <f t="shared" si="5"/>
        <v>April</v>
      </c>
      <c r="H325" s="1">
        <v>43942</v>
      </c>
      <c r="I325" t="s">
        <v>1073</v>
      </c>
      <c r="J325" t="s">
        <v>1093</v>
      </c>
    </row>
    <row r="326" spans="1:10" x14ac:dyDescent="0.3">
      <c r="A326" t="s">
        <v>1414</v>
      </c>
      <c r="B326" t="s">
        <v>994</v>
      </c>
      <c r="C326" t="s">
        <v>1135</v>
      </c>
      <c r="D326">
        <v>1</v>
      </c>
      <c r="E326">
        <v>1367.9</v>
      </c>
      <c r="F326">
        <v>1367.9</v>
      </c>
      <c r="G326" t="str">
        <f t="shared" si="5"/>
        <v>August</v>
      </c>
      <c r="H326" s="1">
        <v>45519</v>
      </c>
      <c r="I326" t="s">
        <v>1077</v>
      </c>
      <c r="J326" t="s">
        <v>1079</v>
      </c>
    </row>
    <row r="327" spans="1:10" x14ac:dyDescent="0.3">
      <c r="A327" t="s">
        <v>1415</v>
      </c>
      <c r="B327" t="s">
        <v>740</v>
      </c>
      <c r="C327" t="s">
        <v>1097</v>
      </c>
      <c r="D327">
        <v>2</v>
      </c>
      <c r="E327">
        <v>1620.82</v>
      </c>
      <c r="F327">
        <v>3241.64</v>
      </c>
      <c r="G327" t="str">
        <f t="shared" si="5"/>
        <v>April</v>
      </c>
      <c r="H327" s="1">
        <v>44657</v>
      </c>
      <c r="I327" t="s">
        <v>1087</v>
      </c>
      <c r="J327" t="s">
        <v>1082</v>
      </c>
    </row>
    <row r="328" spans="1:10" x14ac:dyDescent="0.3">
      <c r="A328" t="s">
        <v>1416</v>
      </c>
      <c r="B328" t="s">
        <v>377</v>
      </c>
      <c r="C328" t="s">
        <v>1081</v>
      </c>
      <c r="D328">
        <v>5</v>
      </c>
      <c r="E328">
        <v>1931.63</v>
      </c>
      <c r="F328">
        <v>9658.15</v>
      </c>
      <c r="G328" t="str">
        <f t="shared" si="5"/>
        <v>August</v>
      </c>
      <c r="H328" s="1">
        <v>45874</v>
      </c>
      <c r="I328" t="s">
        <v>1077</v>
      </c>
      <c r="J328" t="s">
        <v>1082</v>
      </c>
    </row>
    <row r="329" spans="1:10" x14ac:dyDescent="0.3">
      <c r="A329" t="s">
        <v>1417</v>
      </c>
      <c r="B329" t="s">
        <v>889</v>
      </c>
      <c r="C329" t="s">
        <v>1097</v>
      </c>
      <c r="D329">
        <v>3</v>
      </c>
      <c r="E329">
        <v>1654.3</v>
      </c>
      <c r="F329">
        <v>4962.8999999999996</v>
      </c>
      <c r="G329" t="str">
        <f t="shared" si="5"/>
        <v>July</v>
      </c>
      <c r="H329" s="1">
        <v>44042</v>
      </c>
      <c r="I329" t="s">
        <v>1089</v>
      </c>
      <c r="J329" t="s">
        <v>1074</v>
      </c>
    </row>
    <row r="330" spans="1:10" x14ac:dyDescent="0.3">
      <c r="A330" t="s">
        <v>1418</v>
      </c>
      <c r="B330" t="s">
        <v>229</v>
      </c>
      <c r="C330" t="s">
        <v>1081</v>
      </c>
      <c r="D330">
        <v>4</v>
      </c>
      <c r="E330">
        <v>1868.42</v>
      </c>
      <c r="F330">
        <v>7473.68</v>
      </c>
      <c r="G330" t="str">
        <f t="shared" si="5"/>
        <v>January</v>
      </c>
      <c r="H330" s="1">
        <v>45300</v>
      </c>
      <c r="I330" t="s">
        <v>1077</v>
      </c>
      <c r="J330" t="s">
        <v>1084</v>
      </c>
    </row>
    <row r="331" spans="1:10" x14ac:dyDescent="0.3">
      <c r="A331" t="s">
        <v>1419</v>
      </c>
      <c r="B331" t="s">
        <v>367</v>
      </c>
      <c r="C331" t="s">
        <v>1072</v>
      </c>
      <c r="D331">
        <v>3</v>
      </c>
      <c r="E331">
        <v>790.82</v>
      </c>
      <c r="F331">
        <v>2372.46</v>
      </c>
      <c r="G331" t="str">
        <f t="shared" si="5"/>
        <v>September</v>
      </c>
      <c r="H331" s="1">
        <v>45536</v>
      </c>
      <c r="I331" t="s">
        <v>1089</v>
      </c>
      <c r="J331" t="s">
        <v>1082</v>
      </c>
    </row>
    <row r="332" spans="1:10" x14ac:dyDescent="0.3">
      <c r="A332" t="s">
        <v>1420</v>
      </c>
      <c r="B332" t="s">
        <v>153</v>
      </c>
      <c r="C332" t="s">
        <v>1129</v>
      </c>
      <c r="D332">
        <v>5</v>
      </c>
      <c r="E332">
        <v>106.6</v>
      </c>
      <c r="F332">
        <v>533</v>
      </c>
      <c r="G332" t="str">
        <f t="shared" si="5"/>
        <v>June</v>
      </c>
      <c r="H332" s="1">
        <v>43620</v>
      </c>
      <c r="I332" t="s">
        <v>1077</v>
      </c>
      <c r="J332" t="s">
        <v>1093</v>
      </c>
    </row>
    <row r="333" spans="1:10" x14ac:dyDescent="0.3">
      <c r="A333" t="s">
        <v>1421</v>
      </c>
      <c r="B333" t="s">
        <v>639</v>
      </c>
      <c r="C333" t="s">
        <v>1135</v>
      </c>
      <c r="D333">
        <v>5</v>
      </c>
      <c r="E333">
        <v>317.27999999999997</v>
      </c>
      <c r="F333">
        <v>1586.4</v>
      </c>
      <c r="G333" t="str">
        <f t="shared" si="5"/>
        <v>April</v>
      </c>
      <c r="H333" s="1">
        <v>43572</v>
      </c>
      <c r="I333" t="s">
        <v>1087</v>
      </c>
      <c r="J333" t="s">
        <v>1084</v>
      </c>
    </row>
    <row r="334" spans="1:10" x14ac:dyDescent="0.3">
      <c r="A334" t="s">
        <v>1422</v>
      </c>
      <c r="B334" t="s">
        <v>463</v>
      </c>
      <c r="C334" t="s">
        <v>1091</v>
      </c>
      <c r="D334">
        <v>2</v>
      </c>
      <c r="E334">
        <v>1871.13</v>
      </c>
      <c r="F334">
        <v>3742.26</v>
      </c>
      <c r="G334" t="str">
        <f t="shared" si="5"/>
        <v>February</v>
      </c>
      <c r="H334" s="1">
        <v>43504</v>
      </c>
      <c r="I334" t="s">
        <v>1073</v>
      </c>
      <c r="J334" t="s">
        <v>1074</v>
      </c>
    </row>
    <row r="335" spans="1:10" x14ac:dyDescent="0.3">
      <c r="A335" t="s">
        <v>1423</v>
      </c>
      <c r="B335" t="s">
        <v>113</v>
      </c>
      <c r="C335" t="s">
        <v>1072</v>
      </c>
      <c r="D335">
        <v>1</v>
      </c>
      <c r="E335">
        <v>687.81</v>
      </c>
      <c r="F335">
        <v>687.81</v>
      </c>
      <c r="G335" t="str">
        <f t="shared" si="5"/>
        <v>June</v>
      </c>
      <c r="H335" s="1">
        <v>45083</v>
      </c>
      <c r="I335" t="s">
        <v>1073</v>
      </c>
      <c r="J335" t="s">
        <v>1084</v>
      </c>
    </row>
    <row r="336" spans="1:10" x14ac:dyDescent="0.3">
      <c r="A336" t="s">
        <v>1424</v>
      </c>
      <c r="B336" t="s">
        <v>82</v>
      </c>
      <c r="C336" t="s">
        <v>1129</v>
      </c>
      <c r="D336">
        <v>1</v>
      </c>
      <c r="E336">
        <v>1640.62</v>
      </c>
      <c r="F336">
        <v>1640.62</v>
      </c>
      <c r="G336" t="str">
        <f t="shared" si="5"/>
        <v>October</v>
      </c>
      <c r="H336" s="1">
        <v>44476</v>
      </c>
      <c r="I336" t="s">
        <v>1089</v>
      </c>
      <c r="J336" t="s">
        <v>1082</v>
      </c>
    </row>
    <row r="337" spans="1:10" x14ac:dyDescent="0.3">
      <c r="A337" t="s">
        <v>1425</v>
      </c>
      <c r="B337" t="s">
        <v>423</v>
      </c>
      <c r="C337" t="s">
        <v>1072</v>
      </c>
      <c r="D337">
        <v>5</v>
      </c>
      <c r="E337">
        <v>1675.24</v>
      </c>
      <c r="F337">
        <v>8376.2000000000007</v>
      </c>
      <c r="G337" t="str">
        <f t="shared" si="5"/>
        <v>February</v>
      </c>
      <c r="H337" s="1">
        <v>43878</v>
      </c>
      <c r="I337" t="s">
        <v>1095</v>
      </c>
      <c r="J337" t="s">
        <v>1079</v>
      </c>
    </row>
    <row r="338" spans="1:10" x14ac:dyDescent="0.3">
      <c r="A338" t="s">
        <v>1426</v>
      </c>
      <c r="B338" t="s">
        <v>396</v>
      </c>
      <c r="C338" t="s">
        <v>1097</v>
      </c>
      <c r="D338">
        <v>3</v>
      </c>
      <c r="E338">
        <v>370.87</v>
      </c>
      <c r="F338">
        <v>1112.6099999999999</v>
      </c>
      <c r="G338" t="str">
        <f t="shared" si="5"/>
        <v>December</v>
      </c>
      <c r="H338" s="1">
        <v>44926</v>
      </c>
      <c r="I338" t="s">
        <v>1089</v>
      </c>
      <c r="J338" t="s">
        <v>1082</v>
      </c>
    </row>
    <row r="339" spans="1:10" x14ac:dyDescent="0.3">
      <c r="A339" t="s">
        <v>1427</v>
      </c>
      <c r="B339" t="s">
        <v>717</v>
      </c>
      <c r="C339" t="s">
        <v>1076</v>
      </c>
      <c r="D339">
        <v>1</v>
      </c>
      <c r="E339">
        <v>467.15</v>
      </c>
      <c r="F339">
        <v>467.15</v>
      </c>
      <c r="G339" t="str">
        <f t="shared" si="5"/>
        <v>October</v>
      </c>
      <c r="H339" s="1">
        <v>45946</v>
      </c>
      <c r="I339" t="s">
        <v>1087</v>
      </c>
      <c r="J339" t="s">
        <v>1079</v>
      </c>
    </row>
    <row r="340" spans="1:10" x14ac:dyDescent="0.3">
      <c r="A340" t="s">
        <v>1428</v>
      </c>
      <c r="B340" t="s">
        <v>1049</v>
      </c>
      <c r="C340" t="s">
        <v>1076</v>
      </c>
      <c r="D340">
        <v>2</v>
      </c>
      <c r="E340">
        <v>1013.47</v>
      </c>
      <c r="F340">
        <v>2026.94</v>
      </c>
      <c r="G340" t="str">
        <f t="shared" si="5"/>
        <v>February</v>
      </c>
      <c r="H340" s="1">
        <v>44978</v>
      </c>
      <c r="I340" t="s">
        <v>1087</v>
      </c>
      <c r="J340" t="s">
        <v>1082</v>
      </c>
    </row>
    <row r="341" spans="1:10" x14ac:dyDescent="0.3">
      <c r="A341" t="s">
        <v>1429</v>
      </c>
      <c r="B341" t="s">
        <v>74</v>
      </c>
      <c r="C341" t="s">
        <v>1091</v>
      </c>
      <c r="D341">
        <v>4</v>
      </c>
      <c r="E341">
        <v>1569.78</v>
      </c>
      <c r="F341">
        <v>6279.12</v>
      </c>
      <c r="G341" t="str">
        <f t="shared" si="5"/>
        <v>April</v>
      </c>
      <c r="H341" s="1">
        <v>43578</v>
      </c>
      <c r="I341" t="s">
        <v>1073</v>
      </c>
      <c r="J341" t="s">
        <v>1084</v>
      </c>
    </row>
    <row r="342" spans="1:10" x14ac:dyDescent="0.3">
      <c r="A342" t="s">
        <v>1430</v>
      </c>
      <c r="B342" t="s">
        <v>160</v>
      </c>
      <c r="C342" t="s">
        <v>1072</v>
      </c>
      <c r="D342">
        <v>3</v>
      </c>
      <c r="E342">
        <v>1062.3699999999999</v>
      </c>
      <c r="F342">
        <v>3187.11</v>
      </c>
      <c r="G342" t="str">
        <f t="shared" si="5"/>
        <v>March</v>
      </c>
      <c r="H342" s="1">
        <v>43534</v>
      </c>
      <c r="I342" t="s">
        <v>1087</v>
      </c>
      <c r="J342" t="s">
        <v>1079</v>
      </c>
    </row>
    <row r="343" spans="1:10" x14ac:dyDescent="0.3">
      <c r="A343" t="s">
        <v>1431</v>
      </c>
      <c r="B343" t="s">
        <v>908</v>
      </c>
      <c r="C343" t="s">
        <v>1081</v>
      </c>
      <c r="D343">
        <v>5</v>
      </c>
      <c r="E343">
        <v>1304.3900000000001</v>
      </c>
      <c r="F343">
        <v>6521.95</v>
      </c>
      <c r="G343" t="str">
        <f t="shared" si="5"/>
        <v>March</v>
      </c>
      <c r="H343" s="1">
        <v>45718</v>
      </c>
      <c r="I343" t="s">
        <v>1077</v>
      </c>
      <c r="J343" t="s">
        <v>1074</v>
      </c>
    </row>
    <row r="344" spans="1:10" x14ac:dyDescent="0.3">
      <c r="A344" t="s">
        <v>1432</v>
      </c>
      <c r="B344" t="s">
        <v>514</v>
      </c>
      <c r="C344" t="s">
        <v>1109</v>
      </c>
      <c r="D344">
        <v>5</v>
      </c>
      <c r="E344">
        <v>1664.64</v>
      </c>
      <c r="F344">
        <v>8323.2000000000007</v>
      </c>
      <c r="G344" t="str">
        <f t="shared" si="5"/>
        <v>October</v>
      </c>
      <c r="H344" s="1">
        <v>43764</v>
      </c>
      <c r="I344" t="s">
        <v>1087</v>
      </c>
      <c r="J344" t="s">
        <v>1079</v>
      </c>
    </row>
    <row r="345" spans="1:10" x14ac:dyDescent="0.3">
      <c r="A345" t="s">
        <v>1433</v>
      </c>
      <c r="B345" t="s">
        <v>913</v>
      </c>
      <c r="C345" t="s">
        <v>1129</v>
      </c>
      <c r="D345">
        <v>2</v>
      </c>
      <c r="E345">
        <v>1271.1199999999999</v>
      </c>
      <c r="F345">
        <v>2542.2399999999998</v>
      </c>
      <c r="G345" t="str">
        <f t="shared" si="5"/>
        <v>August</v>
      </c>
      <c r="H345" s="1">
        <v>44058</v>
      </c>
      <c r="I345" t="s">
        <v>1087</v>
      </c>
      <c r="J345" t="s">
        <v>1093</v>
      </c>
    </row>
    <row r="346" spans="1:10" x14ac:dyDescent="0.3">
      <c r="A346" t="s">
        <v>1434</v>
      </c>
      <c r="B346" t="s">
        <v>643</v>
      </c>
      <c r="C346" t="s">
        <v>5</v>
      </c>
      <c r="D346">
        <v>3</v>
      </c>
      <c r="E346">
        <v>1423.85</v>
      </c>
      <c r="F346">
        <v>4271.55</v>
      </c>
      <c r="G346" t="str">
        <f t="shared" si="5"/>
        <v>September</v>
      </c>
      <c r="H346" s="1">
        <v>45198</v>
      </c>
      <c r="I346" t="s">
        <v>1077</v>
      </c>
      <c r="J346" t="s">
        <v>1079</v>
      </c>
    </row>
    <row r="347" spans="1:10" x14ac:dyDescent="0.3">
      <c r="A347" t="s">
        <v>1435</v>
      </c>
      <c r="B347" t="s">
        <v>356</v>
      </c>
      <c r="C347" t="s">
        <v>1106</v>
      </c>
      <c r="D347">
        <v>2</v>
      </c>
      <c r="E347">
        <v>1429.84</v>
      </c>
      <c r="F347">
        <v>2859.68</v>
      </c>
      <c r="G347" t="str">
        <f t="shared" si="5"/>
        <v>April</v>
      </c>
      <c r="H347" s="1">
        <v>43940</v>
      </c>
      <c r="I347" t="s">
        <v>1073</v>
      </c>
      <c r="J347" t="s">
        <v>1084</v>
      </c>
    </row>
    <row r="348" spans="1:10" x14ac:dyDescent="0.3">
      <c r="A348" t="s">
        <v>1436</v>
      </c>
      <c r="B348" t="s">
        <v>499</v>
      </c>
      <c r="C348" t="s">
        <v>1129</v>
      </c>
      <c r="D348">
        <v>5</v>
      </c>
      <c r="E348">
        <v>1386.65</v>
      </c>
      <c r="F348">
        <v>6933.25</v>
      </c>
      <c r="G348" t="str">
        <f t="shared" si="5"/>
        <v>December</v>
      </c>
      <c r="H348" s="1">
        <v>45281</v>
      </c>
      <c r="I348" t="s">
        <v>1089</v>
      </c>
      <c r="J348" t="s">
        <v>1074</v>
      </c>
    </row>
    <row r="349" spans="1:10" x14ac:dyDescent="0.3">
      <c r="A349" t="s">
        <v>1437</v>
      </c>
      <c r="B349" t="s">
        <v>717</v>
      </c>
      <c r="C349" t="s">
        <v>1091</v>
      </c>
      <c r="D349">
        <v>3</v>
      </c>
      <c r="E349">
        <v>571.16999999999996</v>
      </c>
      <c r="F349">
        <v>1713.51</v>
      </c>
      <c r="G349" t="str">
        <f t="shared" si="5"/>
        <v>December</v>
      </c>
      <c r="H349" s="1">
        <v>44549</v>
      </c>
      <c r="I349" t="s">
        <v>1087</v>
      </c>
      <c r="J349" t="s">
        <v>1074</v>
      </c>
    </row>
    <row r="350" spans="1:10" x14ac:dyDescent="0.3">
      <c r="A350" t="s">
        <v>1438</v>
      </c>
      <c r="B350" t="s">
        <v>735</v>
      </c>
      <c r="C350" t="s">
        <v>1091</v>
      </c>
      <c r="D350">
        <v>1</v>
      </c>
      <c r="E350">
        <v>1138.2</v>
      </c>
      <c r="F350">
        <v>1138.2</v>
      </c>
      <c r="G350" t="str">
        <f t="shared" si="5"/>
        <v>March</v>
      </c>
      <c r="H350" s="1">
        <v>44640</v>
      </c>
      <c r="I350" t="s">
        <v>1089</v>
      </c>
      <c r="J350" t="s">
        <v>1082</v>
      </c>
    </row>
    <row r="351" spans="1:10" x14ac:dyDescent="0.3">
      <c r="A351" t="s">
        <v>1439</v>
      </c>
      <c r="B351" t="s">
        <v>834</v>
      </c>
      <c r="C351" t="s">
        <v>1135</v>
      </c>
      <c r="D351">
        <v>5</v>
      </c>
      <c r="E351">
        <v>10.86</v>
      </c>
      <c r="F351">
        <v>54.3</v>
      </c>
      <c r="G351" t="str">
        <f t="shared" si="5"/>
        <v>July</v>
      </c>
      <c r="H351" s="1">
        <v>44018</v>
      </c>
      <c r="I351" t="s">
        <v>1077</v>
      </c>
      <c r="J351" t="s">
        <v>1084</v>
      </c>
    </row>
    <row r="352" spans="1:10" x14ac:dyDescent="0.3">
      <c r="A352" t="s">
        <v>1440</v>
      </c>
      <c r="B352" t="s">
        <v>744</v>
      </c>
      <c r="C352" t="s">
        <v>1135</v>
      </c>
      <c r="D352">
        <v>5</v>
      </c>
      <c r="E352">
        <v>1234.24</v>
      </c>
      <c r="F352">
        <v>6171.2</v>
      </c>
      <c r="G352" t="str">
        <f t="shared" si="5"/>
        <v>March</v>
      </c>
      <c r="H352" s="1">
        <v>43904</v>
      </c>
      <c r="I352" t="s">
        <v>1077</v>
      </c>
      <c r="J352" t="s">
        <v>1082</v>
      </c>
    </row>
    <row r="353" spans="1:10" x14ac:dyDescent="0.3">
      <c r="A353" t="s">
        <v>1441</v>
      </c>
      <c r="B353" t="s">
        <v>735</v>
      </c>
      <c r="C353" t="s">
        <v>1072</v>
      </c>
      <c r="D353">
        <v>5</v>
      </c>
      <c r="E353">
        <v>287.7</v>
      </c>
      <c r="F353">
        <v>1438.5</v>
      </c>
      <c r="G353" t="str">
        <f t="shared" si="5"/>
        <v>May</v>
      </c>
      <c r="H353" s="1">
        <v>44318</v>
      </c>
      <c r="I353" t="s">
        <v>1077</v>
      </c>
      <c r="J353" t="s">
        <v>1093</v>
      </c>
    </row>
    <row r="354" spans="1:10" x14ac:dyDescent="0.3">
      <c r="A354" t="s">
        <v>1442</v>
      </c>
      <c r="B354" t="s">
        <v>303</v>
      </c>
      <c r="C354" t="s">
        <v>5</v>
      </c>
      <c r="D354">
        <v>1</v>
      </c>
      <c r="E354">
        <v>110.8</v>
      </c>
      <c r="F354">
        <v>110.8</v>
      </c>
      <c r="G354" t="str">
        <f t="shared" si="5"/>
        <v>June</v>
      </c>
      <c r="H354" s="1">
        <v>45826</v>
      </c>
      <c r="I354" t="s">
        <v>1087</v>
      </c>
      <c r="J354" t="s">
        <v>1093</v>
      </c>
    </row>
    <row r="355" spans="1:10" x14ac:dyDescent="0.3">
      <c r="A355" t="s">
        <v>1443</v>
      </c>
      <c r="B355" t="s">
        <v>82</v>
      </c>
      <c r="C355" t="s">
        <v>1097</v>
      </c>
      <c r="D355">
        <v>1</v>
      </c>
      <c r="E355">
        <v>970.68</v>
      </c>
      <c r="F355">
        <v>970.68</v>
      </c>
      <c r="G355" t="str">
        <f t="shared" si="5"/>
        <v>November</v>
      </c>
      <c r="H355" s="1">
        <v>44143</v>
      </c>
      <c r="I355" t="s">
        <v>1087</v>
      </c>
      <c r="J355" t="s">
        <v>1074</v>
      </c>
    </row>
    <row r="356" spans="1:10" x14ac:dyDescent="0.3">
      <c r="A356" t="s">
        <v>1444</v>
      </c>
      <c r="B356" t="s">
        <v>98</v>
      </c>
      <c r="C356" t="s">
        <v>1097</v>
      </c>
      <c r="D356">
        <v>1</v>
      </c>
      <c r="E356">
        <v>699.38</v>
      </c>
      <c r="F356">
        <v>699.38</v>
      </c>
      <c r="G356" t="str">
        <f t="shared" si="5"/>
        <v>May</v>
      </c>
      <c r="H356" s="1">
        <v>45048</v>
      </c>
      <c r="I356" t="s">
        <v>1095</v>
      </c>
      <c r="J356" t="s">
        <v>1074</v>
      </c>
    </row>
    <row r="357" spans="1:10" x14ac:dyDescent="0.3">
      <c r="A357" t="s">
        <v>1445</v>
      </c>
      <c r="B357" t="s">
        <v>661</v>
      </c>
      <c r="C357" t="s">
        <v>1072</v>
      </c>
      <c r="D357">
        <v>4</v>
      </c>
      <c r="E357">
        <v>1169.9000000000001</v>
      </c>
      <c r="F357">
        <v>4679.6000000000004</v>
      </c>
      <c r="G357" t="str">
        <f t="shared" si="5"/>
        <v>March</v>
      </c>
      <c r="H357" s="1">
        <v>44258</v>
      </c>
      <c r="I357" t="s">
        <v>1095</v>
      </c>
      <c r="J357" t="s">
        <v>1074</v>
      </c>
    </row>
    <row r="358" spans="1:10" x14ac:dyDescent="0.3">
      <c r="A358" t="s">
        <v>1446</v>
      </c>
      <c r="B358" t="s">
        <v>703</v>
      </c>
      <c r="C358" t="s">
        <v>1129</v>
      </c>
      <c r="D358">
        <v>3</v>
      </c>
      <c r="E358">
        <v>1872.8</v>
      </c>
      <c r="F358">
        <v>5618.4</v>
      </c>
      <c r="G358" t="str">
        <f t="shared" si="5"/>
        <v>January</v>
      </c>
      <c r="H358" s="1">
        <v>44214</v>
      </c>
      <c r="I358" t="s">
        <v>1087</v>
      </c>
      <c r="J358" t="s">
        <v>1084</v>
      </c>
    </row>
    <row r="359" spans="1:10" x14ac:dyDescent="0.3">
      <c r="A359" t="s">
        <v>1447</v>
      </c>
      <c r="B359" t="s">
        <v>126</v>
      </c>
      <c r="C359" t="s">
        <v>1109</v>
      </c>
      <c r="D359">
        <v>2</v>
      </c>
      <c r="E359">
        <v>333.81</v>
      </c>
      <c r="F359">
        <v>667.62</v>
      </c>
      <c r="G359" t="str">
        <f t="shared" si="5"/>
        <v>May</v>
      </c>
      <c r="H359" s="1">
        <v>45789</v>
      </c>
      <c r="I359" t="s">
        <v>1095</v>
      </c>
      <c r="J359" t="s">
        <v>1079</v>
      </c>
    </row>
    <row r="360" spans="1:10" x14ac:dyDescent="0.3">
      <c r="A360" t="s">
        <v>1448</v>
      </c>
      <c r="B360" t="s">
        <v>1006</v>
      </c>
      <c r="C360" t="s">
        <v>1097</v>
      </c>
      <c r="D360">
        <v>5</v>
      </c>
      <c r="E360">
        <v>1225.44</v>
      </c>
      <c r="F360">
        <v>6127.2</v>
      </c>
      <c r="G360" t="str">
        <f t="shared" si="5"/>
        <v>August</v>
      </c>
      <c r="H360" s="1">
        <v>44419</v>
      </c>
      <c r="I360" t="s">
        <v>1073</v>
      </c>
      <c r="J360" t="s">
        <v>1079</v>
      </c>
    </row>
    <row r="361" spans="1:10" x14ac:dyDescent="0.3">
      <c r="A361" t="s">
        <v>1449</v>
      </c>
      <c r="B361" t="s">
        <v>1002</v>
      </c>
      <c r="C361" t="s">
        <v>1091</v>
      </c>
      <c r="D361">
        <v>2</v>
      </c>
      <c r="E361">
        <v>1627.73</v>
      </c>
      <c r="F361">
        <v>3255.46</v>
      </c>
      <c r="G361" t="str">
        <f t="shared" si="5"/>
        <v>September</v>
      </c>
      <c r="H361" s="1">
        <v>44458</v>
      </c>
      <c r="I361" t="s">
        <v>1073</v>
      </c>
      <c r="J361" t="s">
        <v>1093</v>
      </c>
    </row>
    <row r="362" spans="1:10" x14ac:dyDescent="0.3">
      <c r="A362" t="s">
        <v>1450</v>
      </c>
      <c r="B362" t="s">
        <v>383</v>
      </c>
      <c r="C362" t="s">
        <v>1081</v>
      </c>
      <c r="D362">
        <v>3</v>
      </c>
      <c r="E362">
        <v>116.74</v>
      </c>
      <c r="F362">
        <v>350.22</v>
      </c>
      <c r="G362" t="str">
        <f t="shared" si="5"/>
        <v>October</v>
      </c>
      <c r="H362" s="1">
        <v>45578</v>
      </c>
      <c r="I362" t="s">
        <v>1089</v>
      </c>
      <c r="J362" t="s">
        <v>1074</v>
      </c>
    </row>
    <row r="363" spans="1:10" x14ac:dyDescent="0.3">
      <c r="A363" t="s">
        <v>1451</v>
      </c>
      <c r="B363" t="s">
        <v>735</v>
      </c>
      <c r="C363" t="s">
        <v>1097</v>
      </c>
      <c r="D363">
        <v>1</v>
      </c>
      <c r="E363">
        <v>682.1</v>
      </c>
      <c r="F363">
        <v>682.1</v>
      </c>
      <c r="G363" t="str">
        <f t="shared" si="5"/>
        <v>October</v>
      </c>
      <c r="H363" s="1">
        <v>43756</v>
      </c>
      <c r="I363" t="s">
        <v>1077</v>
      </c>
      <c r="J363" t="s">
        <v>1082</v>
      </c>
    </row>
    <row r="364" spans="1:10" x14ac:dyDescent="0.3">
      <c r="A364" t="s">
        <v>1452</v>
      </c>
      <c r="B364" t="s">
        <v>797</v>
      </c>
      <c r="C364" t="s">
        <v>1097</v>
      </c>
      <c r="D364">
        <v>3</v>
      </c>
      <c r="E364">
        <v>321.58</v>
      </c>
      <c r="F364">
        <v>964.74</v>
      </c>
      <c r="G364" t="str">
        <f t="shared" si="5"/>
        <v>August</v>
      </c>
      <c r="H364" s="1">
        <v>45533</v>
      </c>
      <c r="I364" t="s">
        <v>1095</v>
      </c>
      <c r="J364" t="s">
        <v>1079</v>
      </c>
    </row>
    <row r="365" spans="1:10" x14ac:dyDescent="0.3">
      <c r="A365" t="s">
        <v>1453</v>
      </c>
      <c r="B365" t="s">
        <v>913</v>
      </c>
      <c r="C365" t="s">
        <v>1072</v>
      </c>
      <c r="D365">
        <v>2</v>
      </c>
      <c r="E365">
        <v>1967.54</v>
      </c>
      <c r="F365">
        <v>3935.08</v>
      </c>
      <c r="G365" t="str">
        <f t="shared" si="5"/>
        <v>April</v>
      </c>
      <c r="H365" s="1">
        <v>44288</v>
      </c>
      <c r="I365" t="s">
        <v>1077</v>
      </c>
      <c r="J365" t="s">
        <v>1082</v>
      </c>
    </row>
    <row r="366" spans="1:10" x14ac:dyDescent="0.3">
      <c r="A366" t="s">
        <v>1454</v>
      </c>
      <c r="B366" t="s">
        <v>848</v>
      </c>
      <c r="C366" t="s">
        <v>1097</v>
      </c>
      <c r="D366">
        <v>1</v>
      </c>
      <c r="E366">
        <v>877.98</v>
      </c>
      <c r="F366">
        <v>877.98</v>
      </c>
      <c r="G366" t="str">
        <f t="shared" si="5"/>
        <v>August</v>
      </c>
      <c r="H366" s="1">
        <v>44062</v>
      </c>
      <c r="I366" t="s">
        <v>1087</v>
      </c>
      <c r="J366" t="s">
        <v>1082</v>
      </c>
    </row>
    <row r="367" spans="1:10" x14ac:dyDescent="0.3">
      <c r="A367" t="s">
        <v>1455</v>
      </c>
      <c r="B367" t="s">
        <v>206</v>
      </c>
      <c r="C367" t="s">
        <v>1106</v>
      </c>
      <c r="D367">
        <v>5</v>
      </c>
      <c r="E367">
        <v>857.89</v>
      </c>
      <c r="F367">
        <v>4289.45</v>
      </c>
      <c r="G367" t="str">
        <f t="shared" si="5"/>
        <v>December</v>
      </c>
      <c r="H367" s="1">
        <v>44554</v>
      </c>
      <c r="I367" t="s">
        <v>1087</v>
      </c>
      <c r="J367" t="s">
        <v>1084</v>
      </c>
    </row>
    <row r="368" spans="1:10" x14ac:dyDescent="0.3">
      <c r="A368" t="s">
        <v>1456</v>
      </c>
      <c r="B368" t="s">
        <v>303</v>
      </c>
      <c r="C368" t="s">
        <v>1109</v>
      </c>
      <c r="D368">
        <v>1</v>
      </c>
      <c r="E368">
        <v>134.79</v>
      </c>
      <c r="F368">
        <v>134.79</v>
      </c>
      <c r="G368" t="str">
        <f t="shared" si="5"/>
        <v>July</v>
      </c>
      <c r="H368" s="1">
        <v>44400</v>
      </c>
      <c r="I368" t="s">
        <v>1089</v>
      </c>
      <c r="J368" t="s">
        <v>1084</v>
      </c>
    </row>
    <row r="369" spans="1:10" x14ac:dyDescent="0.3">
      <c r="A369" t="s">
        <v>1457</v>
      </c>
      <c r="B369" t="s">
        <v>322</v>
      </c>
      <c r="C369" t="s">
        <v>1081</v>
      </c>
      <c r="D369">
        <v>2</v>
      </c>
      <c r="E369">
        <v>1544.97</v>
      </c>
      <c r="F369">
        <v>3089.94</v>
      </c>
      <c r="G369" t="str">
        <f t="shared" si="5"/>
        <v>March</v>
      </c>
      <c r="H369" s="1">
        <v>44257</v>
      </c>
      <c r="I369" t="s">
        <v>1077</v>
      </c>
      <c r="J369" t="s">
        <v>1082</v>
      </c>
    </row>
    <row r="370" spans="1:10" x14ac:dyDescent="0.3">
      <c r="A370" t="s">
        <v>1458</v>
      </c>
      <c r="B370" t="s">
        <v>643</v>
      </c>
      <c r="C370" t="s">
        <v>1076</v>
      </c>
      <c r="D370">
        <v>5</v>
      </c>
      <c r="E370">
        <v>583.53</v>
      </c>
      <c r="F370">
        <v>2917.65</v>
      </c>
      <c r="G370" t="str">
        <f t="shared" si="5"/>
        <v>February</v>
      </c>
      <c r="H370" s="1">
        <v>45327</v>
      </c>
      <c r="I370" t="s">
        <v>1077</v>
      </c>
      <c r="J370" t="s">
        <v>1079</v>
      </c>
    </row>
    <row r="371" spans="1:10" x14ac:dyDescent="0.3">
      <c r="A371" t="s">
        <v>1459</v>
      </c>
      <c r="B371" t="s">
        <v>367</v>
      </c>
      <c r="C371" t="s">
        <v>1106</v>
      </c>
      <c r="D371">
        <v>2</v>
      </c>
      <c r="E371">
        <v>763.7</v>
      </c>
      <c r="F371">
        <v>1527.4</v>
      </c>
      <c r="G371" t="str">
        <f t="shared" si="5"/>
        <v>October</v>
      </c>
      <c r="H371" s="1">
        <v>44120</v>
      </c>
      <c r="I371" t="s">
        <v>1087</v>
      </c>
      <c r="J371" t="s">
        <v>1079</v>
      </c>
    </row>
    <row r="372" spans="1:10" x14ac:dyDescent="0.3">
      <c r="A372" t="s">
        <v>1460</v>
      </c>
      <c r="B372" t="s">
        <v>246</v>
      </c>
      <c r="C372" t="s">
        <v>1109</v>
      </c>
      <c r="D372">
        <v>5</v>
      </c>
      <c r="E372">
        <v>624.87</v>
      </c>
      <c r="F372">
        <v>3124.35</v>
      </c>
      <c r="G372" t="str">
        <f t="shared" si="5"/>
        <v>March</v>
      </c>
      <c r="H372" s="1">
        <v>44634</v>
      </c>
      <c r="I372" t="s">
        <v>1073</v>
      </c>
      <c r="J372" t="s">
        <v>1084</v>
      </c>
    </row>
    <row r="373" spans="1:10" x14ac:dyDescent="0.3">
      <c r="A373" t="s">
        <v>1461</v>
      </c>
      <c r="B373" t="s">
        <v>717</v>
      </c>
      <c r="C373" t="s">
        <v>1129</v>
      </c>
      <c r="D373">
        <v>1</v>
      </c>
      <c r="E373">
        <v>1896.2</v>
      </c>
      <c r="F373">
        <v>1896.2</v>
      </c>
      <c r="G373" t="str">
        <f t="shared" si="5"/>
        <v>November</v>
      </c>
      <c r="H373" s="1">
        <v>44511</v>
      </c>
      <c r="I373" t="s">
        <v>1095</v>
      </c>
      <c r="J373" t="s">
        <v>1082</v>
      </c>
    </row>
    <row r="374" spans="1:10" x14ac:dyDescent="0.3">
      <c r="A374" t="s">
        <v>1462</v>
      </c>
      <c r="B374" t="s">
        <v>793</v>
      </c>
      <c r="C374" t="s">
        <v>5</v>
      </c>
      <c r="D374">
        <v>2</v>
      </c>
      <c r="E374">
        <v>967.08</v>
      </c>
      <c r="F374">
        <v>1934.16</v>
      </c>
      <c r="G374" t="str">
        <f t="shared" si="5"/>
        <v>August</v>
      </c>
      <c r="H374" s="1">
        <v>44431</v>
      </c>
      <c r="I374" t="s">
        <v>1077</v>
      </c>
      <c r="J374" t="s">
        <v>1082</v>
      </c>
    </row>
    <row r="375" spans="1:10" x14ac:dyDescent="0.3">
      <c r="A375" t="s">
        <v>1463</v>
      </c>
      <c r="B375" t="s">
        <v>793</v>
      </c>
      <c r="C375" t="s">
        <v>1097</v>
      </c>
      <c r="D375">
        <v>3</v>
      </c>
      <c r="E375">
        <v>440.98</v>
      </c>
      <c r="F375">
        <v>1322.94</v>
      </c>
      <c r="G375" t="str">
        <f t="shared" si="5"/>
        <v>September</v>
      </c>
      <c r="H375" s="1">
        <v>44091</v>
      </c>
      <c r="I375" t="s">
        <v>1089</v>
      </c>
      <c r="J375" t="s">
        <v>1082</v>
      </c>
    </row>
    <row r="376" spans="1:10" x14ac:dyDescent="0.3">
      <c r="A376" t="s">
        <v>1464</v>
      </c>
      <c r="B376" t="s">
        <v>519</v>
      </c>
      <c r="C376" t="s">
        <v>1076</v>
      </c>
      <c r="D376">
        <v>2</v>
      </c>
      <c r="E376">
        <v>1084.04</v>
      </c>
      <c r="F376">
        <v>2168.08</v>
      </c>
      <c r="G376" t="str">
        <f t="shared" si="5"/>
        <v>May</v>
      </c>
      <c r="H376" s="1">
        <v>44685</v>
      </c>
      <c r="I376" t="s">
        <v>1087</v>
      </c>
      <c r="J376" t="s">
        <v>1084</v>
      </c>
    </row>
    <row r="377" spans="1:10" x14ac:dyDescent="0.3">
      <c r="A377" t="s">
        <v>1465</v>
      </c>
      <c r="B377" t="s">
        <v>292</v>
      </c>
      <c r="C377" t="s">
        <v>1097</v>
      </c>
      <c r="D377">
        <v>1</v>
      </c>
      <c r="E377">
        <v>1495.36</v>
      </c>
      <c r="F377">
        <v>1495.36</v>
      </c>
      <c r="G377" t="str">
        <f t="shared" si="5"/>
        <v>January</v>
      </c>
      <c r="H377" s="1">
        <v>43837</v>
      </c>
      <c r="I377" t="s">
        <v>1073</v>
      </c>
      <c r="J377" t="s">
        <v>1084</v>
      </c>
    </row>
    <row r="378" spans="1:10" x14ac:dyDescent="0.3">
      <c r="A378" t="s">
        <v>1466</v>
      </c>
      <c r="B378" t="s">
        <v>985</v>
      </c>
      <c r="C378" t="s">
        <v>1097</v>
      </c>
      <c r="D378">
        <v>5</v>
      </c>
      <c r="E378">
        <v>1652.48</v>
      </c>
      <c r="F378">
        <v>8262.4</v>
      </c>
      <c r="G378" t="str">
        <f t="shared" si="5"/>
        <v>February</v>
      </c>
      <c r="H378" s="1">
        <v>44983</v>
      </c>
      <c r="I378" t="s">
        <v>1073</v>
      </c>
      <c r="J378" t="s">
        <v>1074</v>
      </c>
    </row>
    <row r="379" spans="1:10" x14ac:dyDescent="0.3">
      <c r="A379" t="s">
        <v>1467</v>
      </c>
      <c r="B379" t="s">
        <v>825</v>
      </c>
      <c r="C379" t="s">
        <v>1109</v>
      </c>
      <c r="D379">
        <v>1</v>
      </c>
      <c r="E379">
        <v>114.69</v>
      </c>
      <c r="F379">
        <v>114.69</v>
      </c>
      <c r="G379" t="str">
        <f t="shared" si="5"/>
        <v>April</v>
      </c>
      <c r="H379" s="1">
        <v>43585</v>
      </c>
      <c r="I379" t="s">
        <v>1073</v>
      </c>
      <c r="J379" t="s">
        <v>1079</v>
      </c>
    </row>
    <row r="380" spans="1:10" x14ac:dyDescent="0.3">
      <c r="A380" t="s">
        <v>1468</v>
      </c>
      <c r="B380" t="s">
        <v>998</v>
      </c>
      <c r="C380" t="s">
        <v>1135</v>
      </c>
      <c r="D380">
        <v>3</v>
      </c>
      <c r="E380">
        <v>1260.4000000000001</v>
      </c>
      <c r="F380">
        <v>3781.2</v>
      </c>
      <c r="G380" t="str">
        <f t="shared" si="5"/>
        <v>October</v>
      </c>
      <c r="H380" s="1">
        <v>44855</v>
      </c>
      <c r="I380" t="s">
        <v>1095</v>
      </c>
      <c r="J380" t="s">
        <v>1084</v>
      </c>
    </row>
    <row r="381" spans="1:10" x14ac:dyDescent="0.3">
      <c r="A381" t="s">
        <v>1469</v>
      </c>
      <c r="B381" t="s">
        <v>218</v>
      </c>
      <c r="C381" t="s">
        <v>1135</v>
      </c>
      <c r="D381">
        <v>2</v>
      </c>
      <c r="E381">
        <v>764.95</v>
      </c>
      <c r="F381">
        <v>1529.9</v>
      </c>
      <c r="G381" t="str">
        <f t="shared" si="5"/>
        <v>November</v>
      </c>
      <c r="H381" s="1">
        <v>44878</v>
      </c>
      <c r="I381" t="s">
        <v>1089</v>
      </c>
      <c r="J381" t="s">
        <v>1084</v>
      </c>
    </row>
    <row r="382" spans="1:10" x14ac:dyDescent="0.3">
      <c r="A382" t="s">
        <v>1470</v>
      </c>
      <c r="B382" t="s">
        <v>82</v>
      </c>
      <c r="C382" t="s">
        <v>1097</v>
      </c>
      <c r="D382">
        <v>1</v>
      </c>
      <c r="E382">
        <v>530.28</v>
      </c>
      <c r="F382">
        <v>530.28</v>
      </c>
      <c r="G382" t="str">
        <f t="shared" si="5"/>
        <v>April</v>
      </c>
      <c r="H382" s="1">
        <v>45406</v>
      </c>
      <c r="I382" t="s">
        <v>1077</v>
      </c>
      <c r="J382" t="s">
        <v>1093</v>
      </c>
    </row>
    <row r="383" spans="1:10" x14ac:dyDescent="0.3">
      <c r="A383" t="s">
        <v>1471</v>
      </c>
      <c r="B383" t="s">
        <v>264</v>
      </c>
      <c r="C383" t="s">
        <v>1072</v>
      </c>
      <c r="D383">
        <v>4</v>
      </c>
      <c r="E383">
        <v>380.66</v>
      </c>
      <c r="F383">
        <v>1522.64</v>
      </c>
      <c r="G383" t="str">
        <f t="shared" si="5"/>
        <v>September</v>
      </c>
      <c r="H383" s="1">
        <v>43711</v>
      </c>
      <c r="I383" t="s">
        <v>1073</v>
      </c>
      <c r="J383" t="s">
        <v>1079</v>
      </c>
    </row>
    <row r="384" spans="1:10" x14ac:dyDescent="0.3">
      <c r="A384" t="s">
        <v>1472</v>
      </c>
      <c r="B384" t="s">
        <v>584</v>
      </c>
      <c r="C384" t="s">
        <v>1076</v>
      </c>
      <c r="D384">
        <v>2</v>
      </c>
      <c r="E384">
        <v>1592.76</v>
      </c>
      <c r="F384">
        <v>3185.52</v>
      </c>
      <c r="G384" t="str">
        <f t="shared" si="5"/>
        <v>September</v>
      </c>
      <c r="H384" s="1">
        <v>45561</v>
      </c>
      <c r="I384" t="s">
        <v>1087</v>
      </c>
      <c r="J384" t="s">
        <v>1074</v>
      </c>
    </row>
    <row r="385" spans="1:10" x14ac:dyDescent="0.3">
      <c r="A385" t="s">
        <v>1473</v>
      </c>
      <c r="B385" t="s">
        <v>396</v>
      </c>
      <c r="C385" t="s">
        <v>1081</v>
      </c>
      <c r="D385">
        <v>3</v>
      </c>
      <c r="E385">
        <v>111.29</v>
      </c>
      <c r="F385">
        <v>333.87</v>
      </c>
      <c r="G385" t="str">
        <f t="shared" si="5"/>
        <v>March</v>
      </c>
      <c r="H385" s="1">
        <v>45352</v>
      </c>
      <c r="I385" t="s">
        <v>1077</v>
      </c>
      <c r="J385" t="s">
        <v>1082</v>
      </c>
    </row>
    <row r="386" spans="1:10" x14ac:dyDescent="0.3">
      <c r="A386" t="s">
        <v>1474</v>
      </c>
      <c r="B386" t="s">
        <v>848</v>
      </c>
      <c r="C386" t="s">
        <v>1106</v>
      </c>
      <c r="D386">
        <v>2</v>
      </c>
      <c r="E386">
        <v>672.26</v>
      </c>
      <c r="F386">
        <v>1344.52</v>
      </c>
      <c r="G386" t="str">
        <f t="shared" si="5"/>
        <v>December</v>
      </c>
      <c r="H386" s="1">
        <v>43813</v>
      </c>
      <c r="I386" t="s">
        <v>1087</v>
      </c>
      <c r="J386" t="s">
        <v>1074</v>
      </c>
    </row>
    <row r="387" spans="1:10" x14ac:dyDescent="0.3">
      <c r="A387" t="s">
        <v>1475</v>
      </c>
      <c r="B387" t="s">
        <v>258</v>
      </c>
      <c r="C387" t="s">
        <v>1106</v>
      </c>
      <c r="D387">
        <v>2</v>
      </c>
      <c r="E387">
        <v>1646.55</v>
      </c>
      <c r="F387">
        <v>3293.1</v>
      </c>
      <c r="G387" t="str">
        <f t="shared" ref="G387:G450" si="6">TEXT(H387,"mmmm")</f>
        <v>July</v>
      </c>
      <c r="H387" s="1">
        <v>44383</v>
      </c>
      <c r="I387" t="s">
        <v>1073</v>
      </c>
      <c r="J387" t="s">
        <v>1079</v>
      </c>
    </row>
    <row r="388" spans="1:10" x14ac:dyDescent="0.3">
      <c r="A388" t="s">
        <v>1476</v>
      </c>
      <c r="B388" t="s">
        <v>679</v>
      </c>
      <c r="C388" t="s">
        <v>1076</v>
      </c>
      <c r="D388">
        <v>2</v>
      </c>
      <c r="E388">
        <v>712.55</v>
      </c>
      <c r="F388">
        <v>1425.1</v>
      </c>
      <c r="G388" t="str">
        <f t="shared" si="6"/>
        <v>July</v>
      </c>
      <c r="H388" s="1">
        <v>43647</v>
      </c>
      <c r="I388" t="s">
        <v>1073</v>
      </c>
      <c r="J388" t="s">
        <v>1082</v>
      </c>
    </row>
    <row r="389" spans="1:10" x14ac:dyDescent="0.3">
      <c r="A389" t="s">
        <v>1477</v>
      </c>
      <c r="B389" t="s">
        <v>857</v>
      </c>
      <c r="C389" t="s">
        <v>1097</v>
      </c>
      <c r="D389">
        <v>5</v>
      </c>
      <c r="E389">
        <v>492.38</v>
      </c>
      <c r="F389">
        <v>2461.9</v>
      </c>
      <c r="G389" t="str">
        <f t="shared" si="6"/>
        <v>May</v>
      </c>
      <c r="H389" s="1">
        <v>45442</v>
      </c>
      <c r="I389" t="s">
        <v>1073</v>
      </c>
      <c r="J389" t="s">
        <v>1082</v>
      </c>
    </row>
    <row r="390" spans="1:10" x14ac:dyDescent="0.3">
      <c r="A390" t="s">
        <v>1478</v>
      </c>
      <c r="B390" t="s">
        <v>377</v>
      </c>
      <c r="C390" t="s">
        <v>1109</v>
      </c>
      <c r="D390">
        <v>5</v>
      </c>
      <c r="E390">
        <v>1861.54</v>
      </c>
      <c r="F390">
        <v>9307.7000000000007</v>
      </c>
      <c r="G390" t="str">
        <f t="shared" si="6"/>
        <v>April</v>
      </c>
      <c r="H390" s="1">
        <v>45043</v>
      </c>
      <c r="I390" t="s">
        <v>1073</v>
      </c>
      <c r="J390" t="s">
        <v>1082</v>
      </c>
    </row>
    <row r="391" spans="1:10" x14ac:dyDescent="0.3">
      <c r="A391" t="s">
        <v>1479</v>
      </c>
      <c r="B391" t="s">
        <v>820</v>
      </c>
      <c r="C391" t="s">
        <v>1076</v>
      </c>
      <c r="D391">
        <v>3</v>
      </c>
      <c r="E391">
        <v>694.12</v>
      </c>
      <c r="F391">
        <v>2082.36</v>
      </c>
      <c r="G391" t="str">
        <f t="shared" si="6"/>
        <v>February</v>
      </c>
      <c r="H391" s="1">
        <v>44985</v>
      </c>
      <c r="I391" t="s">
        <v>1095</v>
      </c>
      <c r="J391" t="s">
        <v>1093</v>
      </c>
    </row>
    <row r="392" spans="1:10" x14ac:dyDescent="0.3">
      <c r="A392" t="s">
        <v>1480</v>
      </c>
      <c r="B392" t="s">
        <v>866</v>
      </c>
      <c r="C392" t="s">
        <v>1097</v>
      </c>
      <c r="D392">
        <v>5</v>
      </c>
      <c r="E392">
        <v>1319.08</v>
      </c>
      <c r="F392">
        <v>6595.4</v>
      </c>
      <c r="G392" t="str">
        <f t="shared" si="6"/>
        <v>November</v>
      </c>
      <c r="H392" s="1">
        <v>44147</v>
      </c>
      <c r="I392" t="s">
        <v>1095</v>
      </c>
      <c r="J392" t="s">
        <v>1074</v>
      </c>
    </row>
    <row r="393" spans="1:10" x14ac:dyDescent="0.3">
      <c r="A393" t="s">
        <v>1481</v>
      </c>
      <c r="B393" t="s">
        <v>843</v>
      </c>
      <c r="C393" t="s">
        <v>1097</v>
      </c>
      <c r="D393">
        <v>4</v>
      </c>
      <c r="E393">
        <v>1285.49</v>
      </c>
      <c r="F393">
        <v>5141.96</v>
      </c>
      <c r="G393" t="str">
        <f t="shared" si="6"/>
        <v>May</v>
      </c>
      <c r="H393" s="1">
        <v>43979</v>
      </c>
      <c r="I393" t="s">
        <v>1087</v>
      </c>
      <c r="J393" t="s">
        <v>1082</v>
      </c>
    </row>
    <row r="394" spans="1:10" x14ac:dyDescent="0.3">
      <c r="A394" t="s">
        <v>1482</v>
      </c>
      <c r="B394" t="s">
        <v>82</v>
      </c>
      <c r="C394" t="s">
        <v>1072</v>
      </c>
      <c r="D394">
        <v>3</v>
      </c>
      <c r="E394">
        <v>1075.28</v>
      </c>
      <c r="F394">
        <v>3225.84</v>
      </c>
      <c r="G394" t="str">
        <f t="shared" si="6"/>
        <v>July</v>
      </c>
      <c r="H394" s="1">
        <v>45847</v>
      </c>
      <c r="I394" t="s">
        <v>1095</v>
      </c>
      <c r="J394" t="s">
        <v>1082</v>
      </c>
    </row>
    <row r="395" spans="1:10" x14ac:dyDescent="0.3">
      <c r="A395" t="s">
        <v>1483</v>
      </c>
      <c r="B395" t="s">
        <v>153</v>
      </c>
      <c r="C395" t="s">
        <v>1135</v>
      </c>
      <c r="D395">
        <v>3</v>
      </c>
      <c r="E395">
        <v>581.45000000000005</v>
      </c>
      <c r="F395">
        <v>1744.35</v>
      </c>
      <c r="G395" t="str">
        <f t="shared" si="6"/>
        <v>April</v>
      </c>
      <c r="H395" s="1">
        <v>45407</v>
      </c>
      <c r="I395" t="s">
        <v>1077</v>
      </c>
      <c r="J395" t="s">
        <v>1079</v>
      </c>
    </row>
    <row r="396" spans="1:10" x14ac:dyDescent="0.3">
      <c r="A396" t="s">
        <v>1484</v>
      </c>
      <c r="B396" t="s">
        <v>1006</v>
      </c>
      <c r="C396" t="s">
        <v>1129</v>
      </c>
      <c r="D396">
        <v>4</v>
      </c>
      <c r="E396">
        <v>1202.9100000000001</v>
      </c>
      <c r="F396">
        <v>4811.6400000000003</v>
      </c>
      <c r="G396" t="str">
        <f t="shared" si="6"/>
        <v>August</v>
      </c>
      <c r="H396" s="1">
        <v>44071</v>
      </c>
      <c r="I396" t="s">
        <v>1073</v>
      </c>
      <c r="J396" t="s">
        <v>1084</v>
      </c>
    </row>
    <row r="397" spans="1:10" x14ac:dyDescent="0.3">
      <c r="A397" t="s">
        <v>1485</v>
      </c>
      <c r="B397" t="s">
        <v>478</v>
      </c>
      <c r="C397" t="s">
        <v>1081</v>
      </c>
      <c r="D397">
        <v>5</v>
      </c>
      <c r="E397">
        <v>1024.44</v>
      </c>
      <c r="F397">
        <v>5122.2</v>
      </c>
      <c r="G397" t="str">
        <f t="shared" si="6"/>
        <v>June</v>
      </c>
      <c r="H397" s="1">
        <v>43622</v>
      </c>
      <c r="I397" t="s">
        <v>1087</v>
      </c>
      <c r="J397" t="s">
        <v>1084</v>
      </c>
    </row>
    <row r="398" spans="1:10" x14ac:dyDescent="0.3">
      <c r="A398" t="s">
        <v>1486</v>
      </c>
      <c r="B398" t="s">
        <v>793</v>
      </c>
      <c r="C398" t="s">
        <v>1091</v>
      </c>
      <c r="D398">
        <v>4</v>
      </c>
      <c r="E398">
        <v>196.91</v>
      </c>
      <c r="F398">
        <v>787.64</v>
      </c>
      <c r="G398" t="str">
        <f t="shared" si="6"/>
        <v>January</v>
      </c>
      <c r="H398" s="1">
        <v>43467</v>
      </c>
      <c r="I398" t="s">
        <v>1095</v>
      </c>
      <c r="J398" t="s">
        <v>1082</v>
      </c>
    </row>
    <row r="399" spans="1:10" x14ac:dyDescent="0.3">
      <c r="A399" t="s">
        <v>1487</v>
      </c>
      <c r="B399" t="s">
        <v>554</v>
      </c>
      <c r="C399" t="s">
        <v>1106</v>
      </c>
      <c r="D399">
        <v>1</v>
      </c>
      <c r="E399">
        <v>1247.96</v>
      </c>
      <c r="F399">
        <v>1247.96</v>
      </c>
      <c r="G399" t="str">
        <f t="shared" si="6"/>
        <v>March</v>
      </c>
      <c r="H399" s="1">
        <v>44624</v>
      </c>
      <c r="I399" t="s">
        <v>1077</v>
      </c>
      <c r="J399" t="s">
        <v>1082</v>
      </c>
    </row>
    <row r="400" spans="1:10" x14ac:dyDescent="0.3">
      <c r="A400" t="s">
        <v>1488</v>
      </c>
      <c r="B400" t="s">
        <v>783</v>
      </c>
      <c r="C400" t="s">
        <v>1081</v>
      </c>
      <c r="D400">
        <v>3</v>
      </c>
      <c r="E400">
        <v>359.99</v>
      </c>
      <c r="F400">
        <v>1079.97</v>
      </c>
      <c r="G400" t="str">
        <f t="shared" si="6"/>
        <v>June</v>
      </c>
      <c r="H400" s="1">
        <v>44738</v>
      </c>
      <c r="I400" t="s">
        <v>1077</v>
      </c>
      <c r="J400" t="s">
        <v>1079</v>
      </c>
    </row>
    <row r="401" spans="1:10" x14ac:dyDescent="0.3">
      <c r="A401" t="s">
        <v>1489</v>
      </c>
      <c r="B401" t="s">
        <v>788</v>
      </c>
      <c r="C401" t="s">
        <v>5</v>
      </c>
      <c r="D401">
        <v>4</v>
      </c>
      <c r="E401">
        <v>963.25</v>
      </c>
      <c r="F401">
        <v>3853</v>
      </c>
      <c r="G401" t="str">
        <f t="shared" si="6"/>
        <v>November</v>
      </c>
      <c r="H401" s="1">
        <v>44876</v>
      </c>
      <c r="I401" t="s">
        <v>1089</v>
      </c>
      <c r="J401" t="s">
        <v>1074</v>
      </c>
    </row>
    <row r="402" spans="1:10" x14ac:dyDescent="0.3">
      <c r="A402" t="s">
        <v>1490</v>
      </c>
      <c r="B402" t="s">
        <v>423</v>
      </c>
      <c r="C402" t="s">
        <v>1081</v>
      </c>
      <c r="D402">
        <v>2</v>
      </c>
      <c r="E402">
        <v>1065.7</v>
      </c>
      <c r="F402">
        <v>2131.4</v>
      </c>
      <c r="G402" t="str">
        <f t="shared" si="6"/>
        <v>September</v>
      </c>
      <c r="H402" s="1">
        <v>45930</v>
      </c>
      <c r="I402" t="s">
        <v>1087</v>
      </c>
      <c r="J402" t="s">
        <v>1074</v>
      </c>
    </row>
    <row r="403" spans="1:10" x14ac:dyDescent="0.3">
      <c r="A403" t="s">
        <v>1491</v>
      </c>
      <c r="B403" t="s">
        <v>549</v>
      </c>
      <c r="C403" t="s">
        <v>5</v>
      </c>
      <c r="D403">
        <v>3</v>
      </c>
      <c r="E403">
        <v>450.81</v>
      </c>
      <c r="F403">
        <v>1352.43</v>
      </c>
      <c r="G403" t="str">
        <f t="shared" si="6"/>
        <v>December</v>
      </c>
      <c r="H403" s="1">
        <v>45653</v>
      </c>
      <c r="I403" t="s">
        <v>1089</v>
      </c>
      <c r="J403" t="s">
        <v>1093</v>
      </c>
    </row>
    <row r="404" spans="1:10" x14ac:dyDescent="0.3">
      <c r="A404" t="s">
        <v>1492</v>
      </c>
      <c r="B404" t="s">
        <v>758</v>
      </c>
      <c r="C404" t="s">
        <v>1072</v>
      </c>
      <c r="D404">
        <v>2</v>
      </c>
      <c r="E404">
        <v>1531.11</v>
      </c>
      <c r="F404">
        <v>3062.22</v>
      </c>
      <c r="G404" t="str">
        <f t="shared" si="6"/>
        <v>January</v>
      </c>
      <c r="H404" s="1">
        <v>43851</v>
      </c>
      <c r="I404" t="s">
        <v>1073</v>
      </c>
      <c r="J404" t="s">
        <v>1074</v>
      </c>
    </row>
    <row r="405" spans="1:10" x14ac:dyDescent="0.3">
      <c r="A405" t="s">
        <v>1493</v>
      </c>
      <c r="B405" t="s">
        <v>624</v>
      </c>
      <c r="C405" t="s">
        <v>1129</v>
      </c>
      <c r="D405">
        <v>1</v>
      </c>
      <c r="E405">
        <v>1188.93</v>
      </c>
      <c r="F405">
        <v>1188.93</v>
      </c>
      <c r="G405" t="str">
        <f t="shared" si="6"/>
        <v>June</v>
      </c>
      <c r="H405" s="1">
        <v>44376</v>
      </c>
      <c r="I405" t="s">
        <v>1087</v>
      </c>
      <c r="J405" t="s">
        <v>1082</v>
      </c>
    </row>
    <row r="406" spans="1:10" x14ac:dyDescent="0.3">
      <c r="A406" t="s">
        <v>1494</v>
      </c>
      <c r="B406" t="s">
        <v>313</v>
      </c>
      <c r="C406" t="s">
        <v>1106</v>
      </c>
      <c r="D406">
        <v>3</v>
      </c>
      <c r="E406">
        <v>890.21</v>
      </c>
      <c r="F406">
        <v>2670.63</v>
      </c>
      <c r="G406" t="str">
        <f t="shared" si="6"/>
        <v>November</v>
      </c>
      <c r="H406" s="1">
        <v>44883</v>
      </c>
      <c r="I406" t="s">
        <v>1095</v>
      </c>
      <c r="J406" t="s">
        <v>1082</v>
      </c>
    </row>
    <row r="407" spans="1:10" x14ac:dyDescent="0.3">
      <c r="A407" t="s">
        <v>1495</v>
      </c>
      <c r="B407" t="s">
        <v>768</v>
      </c>
      <c r="C407" t="s">
        <v>1091</v>
      </c>
      <c r="D407">
        <v>4</v>
      </c>
      <c r="E407">
        <v>372.72</v>
      </c>
      <c r="F407">
        <v>1490.88</v>
      </c>
      <c r="G407" t="str">
        <f t="shared" si="6"/>
        <v>October</v>
      </c>
      <c r="H407" s="1">
        <v>44863</v>
      </c>
      <c r="I407" t="s">
        <v>1077</v>
      </c>
      <c r="J407" t="s">
        <v>1093</v>
      </c>
    </row>
    <row r="408" spans="1:10" x14ac:dyDescent="0.3">
      <c r="A408" t="s">
        <v>1496</v>
      </c>
      <c r="B408" t="s">
        <v>783</v>
      </c>
      <c r="C408" t="s">
        <v>1097</v>
      </c>
      <c r="D408">
        <v>2</v>
      </c>
      <c r="E408">
        <v>186.56</v>
      </c>
      <c r="F408">
        <v>373.12</v>
      </c>
      <c r="G408" t="str">
        <f t="shared" si="6"/>
        <v>March</v>
      </c>
      <c r="H408" s="1">
        <v>45726</v>
      </c>
      <c r="I408" t="s">
        <v>1077</v>
      </c>
      <c r="J408" t="s">
        <v>1074</v>
      </c>
    </row>
    <row r="409" spans="1:10" x14ac:dyDescent="0.3">
      <c r="A409" t="s">
        <v>1497</v>
      </c>
      <c r="B409" t="s">
        <v>448</v>
      </c>
      <c r="C409" t="s">
        <v>1076</v>
      </c>
      <c r="D409">
        <v>5</v>
      </c>
      <c r="E409">
        <v>544.09</v>
      </c>
      <c r="F409">
        <v>2720.45</v>
      </c>
      <c r="G409" t="str">
        <f t="shared" si="6"/>
        <v>December</v>
      </c>
      <c r="H409" s="1">
        <v>44172</v>
      </c>
      <c r="I409" t="s">
        <v>1077</v>
      </c>
      <c r="J409" t="s">
        <v>1084</v>
      </c>
    </row>
    <row r="410" spans="1:10" x14ac:dyDescent="0.3">
      <c r="A410" t="s">
        <v>1498</v>
      </c>
      <c r="B410" t="s">
        <v>1029</v>
      </c>
      <c r="C410" t="s">
        <v>1091</v>
      </c>
      <c r="D410">
        <v>4</v>
      </c>
      <c r="E410">
        <v>85.6</v>
      </c>
      <c r="F410">
        <v>342.4</v>
      </c>
      <c r="G410" t="str">
        <f t="shared" si="6"/>
        <v>October</v>
      </c>
      <c r="H410" s="1">
        <v>45223</v>
      </c>
      <c r="I410" t="s">
        <v>1089</v>
      </c>
      <c r="J410" t="s">
        <v>1082</v>
      </c>
    </row>
    <row r="411" spans="1:10" x14ac:dyDescent="0.3">
      <c r="A411" t="s">
        <v>1499</v>
      </c>
      <c r="B411" t="s">
        <v>303</v>
      </c>
      <c r="C411" t="s">
        <v>1106</v>
      </c>
      <c r="D411">
        <v>5</v>
      </c>
      <c r="E411">
        <v>191.66</v>
      </c>
      <c r="F411">
        <v>958.3</v>
      </c>
      <c r="G411" t="str">
        <f t="shared" si="6"/>
        <v>September</v>
      </c>
      <c r="H411" s="1">
        <v>45922</v>
      </c>
      <c r="I411" t="s">
        <v>1089</v>
      </c>
      <c r="J411" t="s">
        <v>1082</v>
      </c>
    </row>
    <row r="412" spans="1:10" x14ac:dyDescent="0.3">
      <c r="A412" t="s">
        <v>1500</v>
      </c>
      <c r="B412" t="s">
        <v>524</v>
      </c>
      <c r="C412" t="s">
        <v>1076</v>
      </c>
      <c r="D412">
        <v>1</v>
      </c>
      <c r="E412">
        <v>436.26</v>
      </c>
      <c r="F412">
        <v>436.26</v>
      </c>
      <c r="G412" t="str">
        <f t="shared" si="6"/>
        <v>November</v>
      </c>
      <c r="H412" s="1">
        <v>44136</v>
      </c>
      <c r="I412" t="s">
        <v>1077</v>
      </c>
      <c r="J412" t="s">
        <v>1093</v>
      </c>
    </row>
    <row r="413" spans="1:10" x14ac:dyDescent="0.3">
      <c r="A413" t="s">
        <v>1501</v>
      </c>
      <c r="B413" t="s">
        <v>773</v>
      </c>
      <c r="C413" t="s">
        <v>1109</v>
      </c>
      <c r="D413">
        <v>3</v>
      </c>
      <c r="E413">
        <v>567.1</v>
      </c>
      <c r="F413">
        <v>1701.3</v>
      </c>
      <c r="G413" t="str">
        <f t="shared" si="6"/>
        <v>October</v>
      </c>
      <c r="H413" s="1">
        <v>44499</v>
      </c>
      <c r="I413" t="s">
        <v>1089</v>
      </c>
      <c r="J413" t="s">
        <v>1084</v>
      </c>
    </row>
    <row r="414" spans="1:10" x14ac:dyDescent="0.3">
      <c r="A414" t="s">
        <v>1502</v>
      </c>
      <c r="B414" t="s">
        <v>327</v>
      </c>
      <c r="C414" t="s">
        <v>1109</v>
      </c>
      <c r="D414">
        <v>3</v>
      </c>
      <c r="E414">
        <v>1421.68</v>
      </c>
      <c r="F414">
        <v>4265.04</v>
      </c>
      <c r="G414" t="str">
        <f t="shared" si="6"/>
        <v>January</v>
      </c>
      <c r="H414" s="1">
        <v>45302</v>
      </c>
      <c r="I414" t="s">
        <v>1077</v>
      </c>
      <c r="J414" t="s">
        <v>1093</v>
      </c>
    </row>
    <row r="415" spans="1:10" x14ac:dyDescent="0.3">
      <c r="A415" t="s">
        <v>1503</v>
      </c>
      <c r="B415" t="s">
        <v>941</v>
      </c>
      <c r="C415" t="s">
        <v>1072</v>
      </c>
      <c r="D415">
        <v>1</v>
      </c>
      <c r="E415">
        <v>1219.5999999999999</v>
      </c>
      <c r="F415">
        <v>1219.5999999999999</v>
      </c>
      <c r="G415" t="str">
        <f t="shared" si="6"/>
        <v>June</v>
      </c>
      <c r="H415" s="1">
        <v>45829</v>
      </c>
      <c r="I415" t="s">
        <v>1095</v>
      </c>
      <c r="J415" t="s">
        <v>1093</v>
      </c>
    </row>
    <row r="416" spans="1:10" x14ac:dyDescent="0.3">
      <c r="A416" t="s">
        <v>1504</v>
      </c>
      <c r="B416" t="s">
        <v>768</v>
      </c>
      <c r="C416" t="s">
        <v>1076</v>
      </c>
      <c r="D416">
        <v>4</v>
      </c>
      <c r="E416">
        <v>1867.4</v>
      </c>
      <c r="F416">
        <v>7469.6</v>
      </c>
      <c r="G416" t="str">
        <f t="shared" si="6"/>
        <v>April</v>
      </c>
      <c r="H416" s="1">
        <v>45020</v>
      </c>
      <c r="I416" t="s">
        <v>1087</v>
      </c>
      <c r="J416" t="s">
        <v>1079</v>
      </c>
    </row>
    <row r="417" spans="1:10" x14ac:dyDescent="0.3">
      <c r="A417" t="s">
        <v>1505</v>
      </c>
      <c r="B417" t="s">
        <v>65</v>
      </c>
      <c r="C417" t="s">
        <v>1106</v>
      </c>
      <c r="D417">
        <v>4</v>
      </c>
      <c r="E417">
        <v>410.51</v>
      </c>
      <c r="F417">
        <v>1642.04</v>
      </c>
      <c r="G417" t="str">
        <f t="shared" si="6"/>
        <v>January</v>
      </c>
      <c r="H417" s="1">
        <v>43833</v>
      </c>
      <c r="I417" t="s">
        <v>1095</v>
      </c>
      <c r="J417" t="s">
        <v>1082</v>
      </c>
    </row>
    <row r="418" spans="1:10" x14ac:dyDescent="0.3">
      <c r="A418" t="s">
        <v>1506</v>
      </c>
      <c r="B418" t="s">
        <v>1002</v>
      </c>
      <c r="C418" t="s">
        <v>1072</v>
      </c>
      <c r="D418">
        <v>4</v>
      </c>
      <c r="E418">
        <v>1373.86</v>
      </c>
      <c r="F418">
        <v>5495.44</v>
      </c>
      <c r="G418" t="str">
        <f t="shared" si="6"/>
        <v>January</v>
      </c>
      <c r="H418" s="1">
        <v>44563</v>
      </c>
      <c r="I418" t="s">
        <v>1077</v>
      </c>
      <c r="J418" t="s">
        <v>1079</v>
      </c>
    </row>
    <row r="419" spans="1:10" x14ac:dyDescent="0.3">
      <c r="A419" t="s">
        <v>1507</v>
      </c>
      <c r="B419" t="s">
        <v>817</v>
      </c>
      <c r="C419" t="s">
        <v>1106</v>
      </c>
      <c r="D419">
        <v>4</v>
      </c>
      <c r="E419">
        <v>65.38</v>
      </c>
      <c r="F419">
        <v>261.52</v>
      </c>
      <c r="G419" t="str">
        <f t="shared" si="6"/>
        <v>December</v>
      </c>
      <c r="H419" s="1">
        <v>44186</v>
      </c>
      <c r="I419" t="s">
        <v>1089</v>
      </c>
      <c r="J419" t="s">
        <v>1079</v>
      </c>
    </row>
    <row r="420" spans="1:10" x14ac:dyDescent="0.3">
      <c r="A420" t="s">
        <v>1508</v>
      </c>
      <c r="B420" t="s">
        <v>545</v>
      </c>
      <c r="C420" t="s">
        <v>1072</v>
      </c>
      <c r="D420">
        <v>1</v>
      </c>
      <c r="E420">
        <v>736.34</v>
      </c>
      <c r="F420">
        <v>736.34</v>
      </c>
      <c r="G420" t="str">
        <f t="shared" si="6"/>
        <v>October</v>
      </c>
      <c r="H420" s="1">
        <v>43743</v>
      </c>
      <c r="I420" t="s">
        <v>1089</v>
      </c>
      <c r="J420" t="s">
        <v>1093</v>
      </c>
    </row>
    <row r="421" spans="1:10" x14ac:dyDescent="0.3">
      <c r="A421" t="s">
        <v>1509</v>
      </c>
      <c r="B421" t="s">
        <v>141</v>
      </c>
      <c r="C421" t="s">
        <v>1081</v>
      </c>
      <c r="D421">
        <v>5</v>
      </c>
      <c r="E421">
        <v>303.62</v>
      </c>
      <c r="F421">
        <v>1518.1</v>
      </c>
      <c r="G421" t="str">
        <f t="shared" si="6"/>
        <v>June</v>
      </c>
      <c r="H421" s="1">
        <v>43983</v>
      </c>
      <c r="I421" t="s">
        <v>1087</v>
      </c>
      <c r="J421" t="s">
        <v>1079</v>
      </c>
    </row>
    <row r="422" spans="1:10" x14ac:dyDescent="0.3">
      <c r="A422" t="s">
        <v>1510</v>
      </c>
      <c r="B422" t="s">
        <v>1024</v>
      </c>
      <c r="C422" t="s">
        <v>1106</v>
      </c>
      <c r="D422">
        <v>1</v>
      </c>
      <c r="E422">
        <v>115.55</v>
      </c>
      <c r="F422">
        <v>115.55</v>
      </c>
      <c r="G422" t="str">
        <f t="shared" si="6"/>
        <v>October</v>
      </c>
      <c r="H422" s="1">
        <v>44495</v>
      </c>
      <c r="I422" t="s">
        <v>1089</v>
      </c>
      <c r="J422" t="s">
        <v>1093</v>
      </c>
    </row>
    <row r="423" spans="1:10" x14ac:dyDescent="0.3">
      <c r="A423" t="s">
        <v>1511</v>
      </c>
      <c r="B423" t="s">
        <v>292</v>
      </c>
      <c r="C423" t="s">
        <v>5</v>
      </c>
      <c r="D423">
        <v>4</v>
      </c>
      <c r="E423">
        <v>32.06</v>
      </c>
      <c r="F423">
        <v>128.24</v>
      </c>
      <c r="G423" t="str">
        <f t="shared" si="6"/>
        <v>August</v>
      </c>
      <c r="H423" s="1">
        <v>45509</v>
      </c>
      <c r="I423" t="s">
        <v>1073</v>
      </c>
      <c r="J423" t="s">
        <v>1093</v>
      </c>
    </row>
    <row r="424" spans="1:10" x14ac:dyDescent="0.3">
      <c r="A424" t="s">
        <v>1512</v>
      </c>
      <c r="B424" t="s">
        <v>1034</v>
      </c>
      <c r="C424" t="s">
        <v>1091</v>
      </c>
      <c r="D424">
        <v>1</v>
      </c>
      <c r="E424">
        <v>1653.16</v>
      </c>
      <c r="F424">
        <v>1653.16</v>
      </c>
      <c r="G424" t="str">
        <f t="shared" si="6"/>
        <v>March</v>
      </c>
      <c r="H424" s="1">
        <v>43545</v>
      </c>
      <c r="I424" t="s">
        <v>1095</v>
      </c>
      <c r="J424" t="s">
        <v>1082</v>
      </c>
    </row>
    <row r="425" spans="1:10" x14ac:dyDescent="0.3">
      <c r="A425" t="s">
        <v>1513</v>
      </c>
      <c r="B425" t="s">
        <v>234</v>
      </c>
      <c r="C425" t="s">
        <v>1072</v>
      </c>
      <c r="D425">
        <v>4</v>
      </c>
      <c r="E425">
        <v>1349.08</v>
      </c>
      <c r="F425">
        <v>5396.32</v>
      </c>
      <c r="G425" t="str">
        <f t="shared" si="6"/>
        <v>August</v>
      </c>
      <c r="H425" s="1">
        <v>45875</v>
      </c>
      <c r="I425" t="s">
        <v>1089</v>
      </c>
      <c r="J425" t="s">
        <v>1093</v>
      </c>
    </row>
    <row r="426" spans="1:10" x14ac:dyDescent="0.3">
      <c r="A426" t="s">
        <v>1514</v>
      </c>
      <c r="B426" t="s">
        <v>473</v>
      </c>
      <c r="C426" t="s">
        <v>5</v>
      </c>
      <c r="D426">
        <v>1</v>
      </c>
      <c r="E426">
        <v>1440.62</v>
      </c>
      <c r="F426">
        <v>1440.62</v>
      </c>
      <c r="G426" t="str">
        <f t="shared" si="6"/>
        <v>May</v>
      </c>
      <c r="H426" s="1">
        <v>45070</v>
      </c>
      <c r="I426" t="s">
        <v>1087</v>
      </c>
      <c r="J426" t="s">
        <v>1082</v>
      </c>
    </row>
    <row r="427" spans="1:10" x14ac:dyDescent="0.3">
      <c r="A427" t="s">
        <v>1515</v>
      </c>
      <c r="B427" t="s">
        <v>773</v>
      </c>
      <c r="C427" t="s">
        <v>1076</v>
      </c>
      <c r="D427">
        <v>2</v>
      </c>
      <c r="E427">
        <v>998.15</v>
      </c>
      <c r="F427">
        <v>1996.3</v>
      </c>
      <c r="G427" t="str">
        <f t="shared" si="6"/>
        <v>May</v>
      </c>
      <c r="H427" s="1">
        <v>43952</v>
      </c>
      <c r="I427" t="s">
        <v>1077</v>
      </c>
      <c r="J427" t="s">
        <v>1074</v>
      </c>
    </row>
    <row r="428" spans="1:10" x14ac:dyDescent="0.3">
      <c r="A428" t="s">
        <v>1516</v>
      </c>
      <c r="B428" t="s">
        <v>338</v>
      </c>
      <c r="C428" t="s">
        <v>1129</v>
      </c>
      <c r="D428">
        <v>1</v>
      </c>
      <c r="E428">
        <v>1825.17</v>
      </c>
      <c r="F428">
        <v>1825.17</v>
      </c>
      <c r="G428" t="str">
        <f t="shared" si="6"/>
        <v>June</v>
      </c>
      <c r="H428" s="1">
        <v>44003</v>
      </c>
      <c r="I428" t="s">
        <v>1089</v>
      </c>
      <c r="J428" t="s">
        <v>1093</v>
      </c>
    </row>
    <row r="429" spans="1:10" x14ac:dyDescent="0.3">
      <c r="A429" t="s">
        <v>1517</v>
      </c>
      <c r="B429" t="s">
        <v>396</v>
      </c>
      <c r="C429" t="s">
        <v>1091</v>
      </c>
      <c r="D429">
        <v>5</v>
      </c>
      <c r="E429">
        <v>559.14</v>
      </c>
      <c r="F429">
        <v>2795.7</v>
      </c>
      <c r="G429" t="str">
        <f t="shared" si="6"/>
        <v>December</v>
      </c>
      <c r="H429" s="1">
        <v>45279</v>
      </c>
      <c r="I429" t="s">
        <v>1087</v>
      </c>
      <c r="J429" t="s">
        <v>1084</v>
      </c>
    </row>
    <row r="430" spans="1:10" x14ac:dyDescent="0.3">
      <c r="A430" t="s">
        <v>1518</v>
      </c>
      <c r="B430" t="s">
        <v>721</v>
      </c>
      <c r="C430" t="s">
        <v>1081</v>
      </c>
      <c r="D430">
        <v>5</v>
      </c>
      <c r="E430">
        <v>1143.03</v>
      </c>
      <c r="F430">
        <v>5715.15</v>
      </c>
      <c r="G430" t="str">
        <f t="shared" si="6"/>
        <v>April</v>
      </c>
      <c r="H430" s="1">
        <v>43951</v>
      </c>
      <c r="I430" t="s">
        <v>1087</v>
      </c>
      <c r="J430" t="s">
        <v>1084</v>
      </c>
    </row>
    <row r="431" spans="1:10" x14ac:dyDescent="0.3">
      <c r="A431" t="s">
        <v>1519</v>
      </c>
      <c r="B431" t="s">
        <v>251</v>
      </c>
      <c r="C431" t="s">
        <v>1097</v>
      </c>
      <c r="D431">
        <v>5</v>
      </c>
      <c r="E431">
        <v>1955.83</v>
      </c>
      <c r="F431">
        <v>9779.15</v>
      </c>
      <c r="G431" t="str">
        <f t="shared" si="6"/>
        <v>October</v>
      </c>
      <c r="H431" s="1">
        <v>44478</v>
      </c>
      <c r="I431" t="s">
        <v>1095</v>
      </c>
      <c r="J431" t="s">
        <v>1079</v>
      </c>
    </row>
    <row r="432" spans="1:10" x14ac:dyDescent="0.3">
      <c r="A432" t="s">
        <v>1520</v>
      </c>
      <c r="B432" t="s">
        <v>903</v>
      </c>
      <c r="C432" t="s">
        <v>1072</v>
      </c>
      <c r="D432">
        <v>5</v>
      </c>
      <c r="E432">
        <v>1558.79</v>
      </c>
      <c r="F432">
        <v>7793.95</v>
      </c>
      <c r="G432" t="str">
        <f t="shared" si="6"/>
        <v>September</v>
      </c>
      <c r="H432" s="1">
        <v>44460</v>
      </c>
      <c r="I432" t="s">
        <v>1073</v>
      </c>
      <c r="J432" t="s">
        <v>1093</v>
      </c>
    </row>
    <row r="433" spans="1:10" x14ac:dyDescent="0.3">
      <c r="A433" t="s">
        <v>1521</v>
      </c>
      <c r="B433" t="s">
        <v>684</v>
      </c>
      <c r="C433" t="s">
        <v>1097</v>
      </c>
      <c r="D433">
        <v>2</v>
      </c>
      <c r="E433">
        <v>1155.8900000000001</v>
      </c>
      <c r="F433">
        <v>2311.7800000000002</v>
      </c>
      <c r="G433" t="str">
        <f t="shared" si="6"/>
        <v>December</v>
      </c>
      <c r="H433" s="1">
        <v>45288</v>
      </c>
      <c r="I433" t="s">
        <v>1073</v>
      </c>
      <c r="J433" t="s">
        <v>1093</v>
      </c>
    </row>
    <row r="434" spans="1:10" x14ac:dyDescent="0.3">
      <c r="A434" t="s">
        <v>1522</v>
      </c>
      <c r="B434" t="s">
        <v>16</v>
      </c>
      <c r="C434" t="s">
        <v>1076</v>
      </c>
      <c r="D434">
        <v>4</v>
      </c>
      <c r="E434">
        <v>154.36000000000001</v>
      </c>
      <c r="F434">
        <v>617.44000000000005</v>
      </c>
      <c r="G434" t="str">
        <f t="shared" si="6"/>
        <v>April</v>
      </c>
      <c r="H434" s="1">
        <v>45026</v>
      </c>
      <c r="I434" t="s">
        <v>1073</v>
      </c>
      <c r="J434" t="s">
        <v>1084</v>
      </c>
    </row>
    <row r="435" spans="1:10" x14ac:dyDescent="0.3">
      <c r="A435" t="s">
        <v>1523</v>
      </c>
      <c r="B435" t="s">
        <v>303</v>
      </c>
      <c r="C435" t="s">
        <v>1091</v>
      </c>
      <c r="D435">
        <v>3</v>
      </c>
      <c r="E435">
        <v>173.87</v>
      </c>
      <c r="F435">
        <v>521.61</v>
      </c>
      <c r="G435" t="str">
        <f t="shared" si="6"/>
        <v>April</v>
      </c>
      <c r="H435" s="1">
        <v>45017</v>
      </c>
      <c r="I435" t="s">
        <v>1095</v>
      </c>
      <c r="J435" t="s">
        <v>1082</v>
      </c>
    </row>
    <row r="436" spans="1:10" x14ac:dyDescent="0.3">
      <c r="A436" t="s">
        <v>1524</v>
      </c>
      <c r="B436" t="s">
        <v>121</v>
      </c>
      <c r="C436" t="s">
        <v>1106</v>
      </c>
      <c r="D436">
        <v>2</v>
      </c>
      <c r="E436">
        <v>562.94000000000005</v>
      </c>
      <c r="F436">
        <v>1125.8800000000001</v>
      </c>
      <c r="G436" t="str">
        <f t="shared" si="6"/>
        <v>November</v>
      </c>
      <c r="H436" s="1">
        <v>44879</v>
      </c>
      <c r="I436" t="s">
        <v>1095</v>
      </c>
      <c r="J436" t="s">
        <v>1084</v>
      </c>
    </row>
    <row r="437" spans="1:10" x14ac:dyDescent="0.3">
      <c r="A437" t="s">
        <v>1525</v>
      </c>
      <c r="B437" t="s">
        <v>712</v>
      </c>
      <c r="C437" t="s">
        <v>1076</v>
      </c>
      <c r="D437">
        <v>4</v>
      </c>
      <c r="E437">
        <v>1030.42</v>
      </c>
      <c r="F437">
        <v>4121.68</v>
      </c>
      <c r="G437" t="str">
        <f t="shared" si="6"/>
        <v>October</v>
      </c>
      <c r="H437" s="1">
        <v>45593</v>
      </c>
      <c r="I437" t="s">
        <v>1073</v>
      </c>
      <c r="J437" t="s">
        <v>1074</v>
      </c>
    </row>
    <row r="438" spans="1:10" x14ac:dyDescent="0.3">
      <c r="A438" t="s">
        <v>1526</v>
      </c>
      <c r="B438" t="s">
        <v>961</v>
      </c>
      <c r="C438" t="s">
        <v>1109</v>
      </c>
      <c r="D438">
        <v>1</v>
      </c>
      <c r="E438">
        <v>575.91999999999996</v>
      </c>
      <c r="F438">
        <v>575.91999999999996</v>
      </c>
      <c r="G438" t="str">
        <f t="shared" si="6"/>
        <v>July</v>
      </c>
      <c r="H438" s="1">
        <v>45122</v>
      </c>
      <c r="I438" t="s">
        <v>1087</v>
      </c>
      <c r="J438" t="s">
        <v>1082</v>
      </c>
    </row>
    <row r="439" spans="1:10" x14ac:dyDescent="0.3">
      <c r="A439" t="s">
        <v>1527</v>
      </c>
      <c r="B439" t="s">
        <v>665</v>
      </c>
      <c r="C439" t="s">
        <v>1129</v>
      </c>
      <c r="D439">
        <v>1</v>
      </c>
      <c r="E439">
        <v>346.8</v>
      </c>
      <c r="F439">
        <v>346.8</v>
      </c>
      <c r="G439" t="str">
        <f t="shared" si="6"/>
        <v>October</v>
      </c>
      <c r="H439" s="1">
        <v>44481</v>
      </c>
      <c r="I439" t="s">
        <v>1087</v>
      </c>
      <c r="J439" t="s">
        <v>1079</v>
      </c>
    </row>
    <row r="440" spans="1:10" x14ac:dyDescent="0.3">
      <c r="A440" t="s">
        <v>1528</v>
      </c>
      <c r="B440" t="s">
        <v>168</v>
      </c>
      <c r="C440" t="s">
        <v>1076</v>
      </c>
      <c r="D440">
        <v>3</v>
      </c>
      <c r="E440">
        <v>1058.74</v>
      </c>
      <c r="F440">
        <v>3176.22</v>
      </c>
      <c r="G440" t="str">
        <f t="shared" si="6"/>
        <v>March</v>
      </c>
      <c r="H440" s="1">
        <v>44257</v>
      </c>
      <c r="I440" t="s">
        <v>1073</v>
      </c>
      <c r="J440" t="s">
        <v>1074</v>
      </c>
    </row>
    <row r="441" spans="1:10" x14ac:dyDescent="0.3">
      <c r="A441" t="s">
        <v>1529</v>
      </c>
      <c r="B441" t="s">
        <v>206</v>
      </c>
      <c r="C441" t="s">
        <v>1109</v>
      </c>
      <c r="D441">
        <v>3</v>
      </c>
      <c r="E441">
        <v>1528.43</v>
      </c>
      <c r="F441">
        <v>4585.29</v>
      </c>
      <c r="G441" t="str">
        <f t="shared" si="6"/>
        <v>March</v>
      </c>
      <c r="H441" s="1">
        <v>44278</v>
      </c>
      <c r="I441" t="s">
        <v>1089</v>
      </c>
      <c r="J441" t="s">
        <v>1093</v>
      </c>
    </row>
    <row r="442" spans="1:10" x14ac:dyDescent="0.3">
      <c r="A442" t="s">
        <v>1530</v>
      </c>
      <c r="B442" t="s">
        <v>494</v>
      </c>
      <c r="C442" t="s">
        <v>1091</v>
      </c>
      <c r="D442">
        <v>4</v>
      </c>
      <c r="E442">
        <v>601.4</v>
      </c>
      <c r="F442">
        <v>2405.6</v>
      </c>
      <c r="G442" t="str">
        <f t="shared" si="6"/>
        <v>April</v>
      </c>
      <c r="H442" s="1">
        <v>43581</v>
      </c>
      <c r="I442" t="s">
        <v>1087</v>
      </c>
      <c r="J442" t="s">
        <v>1079</v>
      </c>
    </row>
    <row r="443" spans="1:10" x14ac:dyDescent="0.3">
      <c r="A443" t="s">
        <v>1531</v>
      </c>
      <c r="B443" t="s">
        <v>308</v>
      </c>
      <c r="C443" t="s">
        <v>1081</v>
      </c>
      <c r="D443">
        <v>4</v>
      </c>
      <c r="E443">
        <v>1215.9000000000001</v>
      </c>
      <c r="F443">
        <v>4863.6000000000004</v>
      </c>
      <c r="G443" t="str">
        <f t="shared" si="6"/>
        <v>March</v>
      </c>
      <c r="H443" s="1">
        <v>45008</v>
      </c>
      <c r="I443" t="s">
        <v>1089</v>
      </c>
      <c r="J443" t="s">
        <v>1084</v>
      </c>
    </row>
    <row r="444" spans="1:10" x14ac:dyDescent="0.3">
      <c r="A444" t="s">
        <v>1532</v>
      </c>
      <c r="B444" t="s">
        <v>595</v>
      </c>
      <c r="C444" t="s">
        <v>1091</v>
      </c>
      <c r="D444">
        <v>3</v>
      </c>
      <c r="E444">
        <v>62.61</v>
      </c>
      <c r="F444">
        <v>187.83</v>
      </c>
      <c r="G444" t="str">
        <f t="shared" si="6"/>
        <v>June</v>
      </c>
      <c r="H444" s="1">
        <v>44716</v>
      </c>
      <c r="I444" t="s">
        <v>1087</v>
      </c>
      <c r="J444" t="s">
        <v>1074</v>
      </c>
    </row>
    <row r="445" spans="1:10" x14ac:dyDescent="0.3">
      <c r="A445" t="s">
        <v>1533</v>
      </c>
      <c r="B445" t="s">
        <v>347</v>
      </c>
      <c r="C445" t="s">
        <v>1129</v>
      </c>
      <c r="D445">
        <v>4</v>
      </c>
      <c r="E445">
        <v>1871.3</v>
      </c>
      <c r="F445">
        <v>7485.2</v>
      </c>
      <c r="G445" t="str">
        <f t="shared" si="6"/>
        <v>May</v>
      </c>
      <c r="H445" s="1">
        <v>44341</v>
      </c>
      <c r="I445" t="s">
        <v>1087</v>
      </c>
      <c r="J445" t="s">
        <v>1084</v>
      </c>
    </row>
    <row r="446" spans="1:10" x14ac:dyDescent="0.3">
      <c r="A446" t="s">
        <v>1534</v>
      </c>
      <c r="B446" t="s">
        <v>473</v>
      </c>
      <c r="C446" t="s">
        <v>1097</v>
      </c>
      <c r="D446">
        <v>1</v>
      </c>
      <c r="E446">
        <v>171.76</v>
      </c>
      <c r="F446">
        <v>171.76</v>
      </c>
      <c r="G446" t="str">
        <f t="shared" si="6"/>
        <v>August</v>
      </c>
      <c r="H446" s="1">
        <v>43695</v>
      </c>
      <c r="I446" t="s">
        <v>1077</v>
      </c>
      <c r="J446" t="s">
        <v>1079</v>
      </c>
    </row>
    <row r="447" spans="1:10" x14ac:dyDescent="0.3">
      <c r="A447" t="s">
        <v>1535</v>
      </c>
      <c r="B447" t="s">
        <v>619</v>
      </c>
      <c r="C447" t="s">
        <v>1109</v>
      </c>
      <c r="D447">
        <v>5</v>
      </c>
      <c r="E447">
        <v>1103.74</v>
      </c>
      <c r="F447">
        <v>5518.7</v>
      </c>
      <c r="G447" t="str">
        <f t="shared" si="6"/>
        <v>May</v>
      </c>
      <c r="H447" s="1">
        <v>45796</v>
      </c>
      <c r="I447" t="s">
        <v>1073</v>
      </c>
      <c r="J447" t="s">
        <v>1082</v>
      </c>
    </row>
    <row r="448" spans="1:10" x14ac:dyDescent="0.3">
      <c r="A448" t="s">
        <v>1536</v>
      </c>
      <c r="B448" t="s">
        <v>463</v>
      </c>
      <c r="C448" t="s">
        <v>5</v>
      </c>
      <c r="D448">
        <v>5</v>
      </c>
      <c r="E448">
        <v>1720</v>
      </c>
      <c r="F448">
        <v>8600</v>
      </c>
      <c r="G448" t="str">
        <f t="shared" si="6"/>
        <v>November</v>
      </c>
      <c r="H448" s="1">
        <v>45604</v>
      </c>
      <c r="I448" t="s">
        <v>1077</v>
      </c>
      <c r="J448" t="s">
        <v>1074</v>
      </c>
    </row>
    <row r="449" spans="1:10" x14ac:dyDescent="0.3">
      <c r="A449" t="s">
        <v>1537</v>
      </c>
      <c r="B449" t="s">
        <v>121</v>
      </c>
      <c r="C449" t="s">
        <v>1076</v>
      </c>
      <c r="D449">
        <v>1</v>
      </c>
      <c r="E449">
        <v>322.74</v>
      </c>
      <c r="F449">
        <v>322.74</v>
      </c>
      <c r="G449" t="str">
        <f t="shared" si="6"/>
        <v>February</v>
      </c>
      <c r="H449" s="1">
        <v>45327</v>
      </c>
      <c r="I449" t="s">
        <v>1073</v>
      </c>
      <c r="J449" t="s">
        <v>1074</v>
      </c>
    </row>
    <row r="450" spans="1:10" x14ac:dyDescent="0.3">
      <c r="A450" t="s">
        <v>1538</v>
      </c>
      <c r="B450" t="s">
        <v>528</v>
      </c>
      <c r="C450" t="s">
        <v>1097</v>
      </c>
      <c r="D450">
        <v>4</v>
      </c>
      <c r="E450">
        <v>795.87</v>
      </c>
      <c r="F450">
        <v>3183.48</v>
      </c>
      <c r="G450" t="str">
        <f t="shared" si="6"/>
        <v>July</v>
      </c>
      <c r="H450" s="1">
        <v>44770</v>
      </c>
      <c r="I450" t="s">
        <v>1089</v>
      </c>
      <c r="J450" t="s">
        <v>1084</v>
      </c>
    </row>
    <row r="451" spans="1:10" x14ac:dyDescent="0.3">
      <c r="A451" t="s">
        <v>1539</v>
      </c>
      <c r="B451" t="s">
        <v>213</v>
      </c>
      <c r="C451" t="s">
        <v>1109</v>
      </c>
      <c r="D451">
        <v>5</v>
      </c>
      <c r="E451">
        <v>1311.7</v>
      </c>
      <c r="F451">
        <v>6558.5</v>
      </c>
      <c r="G451" t="str">
        <f t="shared" ref="G451:G501" si="7">TEXT(H451,"mmmm")</f>
        <v>June</v>
      </c>
      <c r="H451" s="1">
        <v>45104</v>
      </c>
      <c r="I451" t="s">
        <v>1077</v>
      </c>
      <c r="J451" t="s">
        <v>1093</v>
      </c>
    </row>
    <row r="452" spans="1:10" x14ac:dyDescent="0.3">
      <c r="A452" t="s">
        <v>1540</v>
      </c>
      <c r="B452" t="s">
        <v>1029</v>
      </c>
      <c r="C452" t="s">
        <v>1072</v>
      </c>
      <c r="D452">
        <v>5</v>
      </c>
      <c r="E452">
        <v>1201.48</v>
      </c>
      <c r="F452">
        <v>6007.4</v>
      </c>
      <c r="G452" t="str">
        <f t="shared" si="7"/>
        <v>March</v>
      </c>
      <c r="H452" s="1">
        <v>44267</v>
      </c>
      <c r="I452" t="s">
        <v>1089</v>
      </c>
      <c r="J452" t="s">
        <v>1084</v>
      </c>
    </row>
    <row r="453" spans="1:10" x14ac:dyDescent="0.3">
      <c r="A453" t="s">
        <v>1541</v>
      </c>
      <c r="B453" t="s">
        <v>483</v>
      </c>
      <c r="C453" t="s">
        <v>1091</v>
      </c>
      <c r="D453">
        <v>2</v>
      </c>
      <c r="E453">
        <v>155.01</v>
      </c>
      <c r="F453">
        <v>310.02</v>
      </c>
      <c r="G453" t="str">
        <f t="shared" si="7"/>
        <v>September</v>
      </c>
      <c r="H453" s="1">
        <v>45563</v>
      </c>
      <c r="I453" t="s">
        <v>1073</v>
      </c>
      <c r="J453" t="s">
        <v>1084</v>
      </c>
    </row>
    <row r="454" spans="1:10" x14ac:dyDescent="0.3">
      <c r="A454" t="s">
        <v>1542</v>
      </c>
      <c r="B454" t="s">
        <v>937</v>
      </c>
      <c r="C454" t="s">
        <v>1106</v>
      </c>
      <c r="D454">
        <v>4</v>
      </c>
      <c r="E454">
        <v>671.15</v>
      </c>
      <c r="F454">
        <v>2684.6</v>
      </c>
      <c r="G454" t="str">
        <f t="shared" si="7"/>
        <v>April</v>
      </c>
      <c r="H454" s="1">
        <v>43949</v>
      </c>
      <c r="I454" t="s">
        <v>1087</v>
      </c>
      <c r="J454" t="s">
        <v>1082</v>
      </c>
    </row>
    <row r="455" spans="1:10" x14ac:dyDescent="0.3">
      <c r="A455" t="s">
        <v>1543</v>
      </c>
      <c r="B455" t="s">
        <v>468</v>
      </c>
      <c r="C455" t="s">
        <v>1072</v>
      </c>
      <c r="D455">
        <v>3</v>
      </c>
      <c r="E455">
        <v>1190.3599999999999</v>
      </c>
      <c r="F455">
        <v>3571.08</v>
      </c>
      <c r="G455" t="str">
        <f t="shared" si="7"/>
        <v>January</v>
      </c>
      <c r="H455" s="1">
        <v>44582</v>
      </c>
      <c r="I455" t="s">
        <v>1095</v>
      </c>
      <c r="J455" t="s">
        <v>1079</v>
      </c>
    </row>
    <row r="456" spans="1:10" x14ac:dyDescent="0.3">
      <c r="A456" t="s">
        <v>1544</v>
      </c>
      <c r="B456" t="s">
        <v>721</v>
      </c>
      <c r="C456" t="s">
        <v>1097</v>
      </c>
      <c r="D456">
        <v>5</v>
      </c>
      <c r="E456">
        <v>982.53</v>
      </c>
      <c r="F456">
        <v>4912.6499999999996</v>
      </c>
      <c r="G456" t="str">
        <f t="shared" si="7"/>
        <v>May</v>
      </c>
      <c r="H456" s="1">
        <v>44691</v>
      </c>
      <c r="I456" t="s">
        <v>1077</v>
      </c>
      <c r="J456" t="s">
        <v>1093</v>
      </c>
    </row>
    <row r="457" spans="1:10" x14ac:dyDescent="0.3">
      <c r="A457" t="s">
        <v>1545</v>
      </c>
      <c r="B457" t="s">
        <v>956</v>
      </c>
      <c r="C457" t="s">
        <v>1135</v>
      </c>
      <c r="D457">
        <v>4</v>
      </c>
      <c r="E457">
        <v>1375.84</v>
      </c>
      <c r="F457">
        <v>5503.36</v>
      </c>
      <c r="G457" t="str">
        <f t="shared" si="7"/>
        <v>June</v>
      </c>
      <c r="H457" s="1">
        <v>44726</v>
      </c>
      <c r="I457" t="s">
        <v>1087</v>
      </c>
      <c r="J457" t="s">
        <v>1093</v>
      </c>
    </row>
    <row r="458" spans="1:10" x14ac:dyDescent="0.3">
      <c r="A458" t="s">
        <v>1546</v>
      </c>
      <c r="B458" t="s">
        <v>218</v>
      </c>
      <c r="C458" t="s">
        <v>1081</v>
      </c>
      <c r="D458">
        <v>4</v>
      </c>
      <c r="E458">
        <v>738.59</v>
      </c>
      <c r="F458">
        <v>2954.36</v>
      </c>
      <c r="G458" t="str">
        <f t="shared" si="7"/>
        <v>June</v>
      </c>
      <c r="H458" s="1">
        <v>45826</v>
      </c>
      <c r="I458" t="s">
        <v>1077</v>
      </c>
      <c r="J458" t="s">
        <v>1084</v>
      </c>
    </row>
    <row r="459" spans="1:10" x14ac:dyDescent="0.3">
      <c r="A459" t="s">
        <v>1547</v>
      </c>
      <c r="B459" t="s">
        <v>37</v>
      </c>
      <c r="C459" t="s">
        <v>5</v>
      </c>
      <c r="D459">
        <v>1</v>
      </c>
      <c r="E459">
        <v>354.95</v>
      </c>
      <c r="F459">
        <v>354.95</v>
      </c>
      <c r="G459" t="str">
        <f t="shared" si="7"/>
        <v>February</v>
      </c>
      <c r="H459" s="1">
        <v>44595</v>
      </c>
      <c r="I459" t="s">
        <v>1095</v>
      </c>
      <c r="J459" t="s">
        <v>1082</v>
      </c>
    </row>
    <row r="460" spans="1:10" x14ac:dyDescent="0.3">
      <c r="A460" t="s">
        <v>1548</v>
      </c>
      <c r="B460" t="s">
        <v>579</v>
      </c>
      <c r="C460" t="s">
        <v>5</v>
      </c>
      <c r="D460">
        <v>5</v>
      </c>
      <c r="E460">
        <v>962.5</v>
      </c>
      <c r="F460">
        <v>4812.5</v>
      </c>
      <c r="G460" t="str">
        <f t="shared" si="7"/>
        <v>May</v>
      </c>
      <c r="H460" s="1">
        <v>44341</v>
      </c>
      <c r="I460" t="s">
        <v>1089</v>
      </c>
      <c r="J460" t="s">
        <v>1093</v>
      </c>
    </row>
    <row r="461" spans="1:10" x14ac:dyDescent="0.3">
      <c r="A461" t="s">
        <v>1549</v>
      </c>
      <c r="B461" t="s">
        <v>679</v>
      </c>
      <c r="C461" t="s">
        <v>1097</v>
      </c>
      <c r="D461">
        <v>2</v>
      </c>
      <c r="E461">
        <v>1123.56</v>
      </c>
      <c r="F461">
        <v>2247.12</v>
      </c>
      <c r="G461" t="str">
        <f t="shared" si="7"/>
        <v>July</v>
      </c>
      <c r="H461" s="1">
        <v>45854</v>
      </c>
      <c r="I461" t="s">
        <v>1089</v>
      </c>
      <c r="J461" t="s">
        <v>1079</v>
      </c>
    </row>
    <row r="462" spans="1:10" x14ac:dyDescent="0.3">
      <c r="A462" t="s">
        <v>1550</v>
      </c>
      <c r="B462" t="s">
        <v>554</v>
      </c>
      <c r="C462" t="s">
        <v>1081</v>
      </c>
      <c r="D462">
        <v>4</v>
      </c>
      <c r="E462">
        <v>1086.4100000000001</v>
      </c>
      <c r="F462">
        <v>4345.6400000000003</v>
      </c>
      <c r="G462" t="str">
        <f t="shared" si="7"/>
        <v>May</v>
      </c>
      <c r="H462" s="1">
        <v>43968</v>
      </c>
      <c r="I462" t="s">
        <v>1073</v>
      </c>
      <c r="J462" t="s">
        <v>1082</v>
      </c>
    </row>
    <row r="463" spans="1:10" x14ac:dyDescent="0.3">
      <c r="A463" t="s">
        <v>1551</v>
      </c>
      <c r="B463" t="s">
        <v>1006</v>
      </c>
      <c r="C463" t="s">
        <v>1097</v>
      </c>
      <c r="D463">
        <v>5</v>
      </c>
      <c r="E463">
        <v>431.94</v>
      </c>
      <c r="F463">
        <v>2159.6999999999998</v>
      </c>
      <c r="G463" t="str">
        <f t="shared" si="7"/>
        <v>April</v>
      </c>
      <c r="H463" s="1">
        <v>45046</v>
      </c>
      <c r="I463" t="s">
        <v>1073</v>
      </c>
      <c r="J463" t="s">
        <v>1084</v>
      </c>
    </row>
    <row r="464" spans="1:10" x14ac:dyDescent="0.3">
      <c r="A464" t="s">
        <v>1552</v>
      </c>
      <c r="B464" t="s">
        <v>951</v>
      </c>
      <c r="C464" t="s">
        <v>1097</v>
      </c>
      <c r="D464">
        <v>1</v>
      </c>
      <c r="E464">
        <v>796.18</v>
      </c>
      <c r="F464">
        <v>796.18</v>
      </c>
      <c r="G464" t="str">
        <f t="shared" si="7"/>
        <v>October</v>
      </c>
      <c r="H464" s="1">
        <v>45935</v>
      </c>
      <c r="I464" t="s">
        <v>1087</v>
      </c>
      <c r="J464" t="s">
        <v>1079</v>
      </c>
    </row>
    <row r="465" spans="1:10" x14ac:dyDescent="0.3">
      <c r="A465" t="s">
        <v>1553</v>
      </c>
      <c r="B465" t="s">
        <v>1024</v>
      </c>
      <c r="C465" t="s">
        <v>1129</v>
      </c>
      <c r="D465">
        <v>2</v>
      </c>
      <c r="E465">
        <v>1803.35</v>
      </c>
      <c r="F465">
        <v>3606.7</v>
      </c>
      <c r="G465" t="str">
        <f t="shared" si="7"/>
        <v>January</v>
      </c>
      <c r="H465" s="1">
        <v>44202</v>
      </c>
      <c r="I465" t="s">
        <v>1087</v>
      </c>
      <c r="J465" t="s">
        <v>1074</v>
      </c>
    </row>
    <row r="466" spans="1:10" x14ac:dyDescent="0.3">
      <c r="A466" t="s">
        <v>1554</v>
      </c>
      <c r="B466" t="s">
        <v>303</v>
      </c>
      <c r="C466" t="s">
        <v>1135</v>
      </c>
      <c r="D466">
        <v>3</v>
      </c>
      <c r="E466">
        <v>837.37</v>
      </c>
      <c r="F466">
        <v>2512.11</v>
      </c>
      <c r="G466" t="str">
        <f t="shared" si="7"/>
        <v>August</v>
      </c>
      <c r="H466" s="1">
        <v>44047</v>
      </c>
      <c r="I466" t="s">
        <v>1089</v>
      </c>
      <c r="J466" t="s">
        <v>1093</v>
      </c>
    </row>
    <row r="467" spans="1:10" x14ac:dyDescent="0.3">
      <c r="A467" t="s">
        <v>1555</v>
      </c>
      <c r="B467" t="s">
        <v>652</v>
      </c>
      <c r="C467" t="s">
        <v>1109</v>
      </c>
      <c r="D467">
        <v>2</v>
      </c>
      <c r="E467">
        <v>1642.34</v>
      </c>
      <c r="F467">
        <v>3284.68</v>
      </c>
      <c r="G467" t="str">
        <f t="shared" si="7"/>
        <v>February</v>
      </c>
      <c r="H467" s="1">
        <v>45329</v>
      </c>
      <c r="I467" t="s">
        <v>1087</v>
      </c>
      <c r="J467" t="s">
        <v>1074</v>
      </c>
    </row>
    <row r="468" spans="1:10" x14ac:dyDescent="0.3">
      <c r="A468" t="s">
        <v>1556</v>
      </c>
      <c r="B468" t="s">
        <v>584</v>
      </c>
      <c r="C468" t="s">
        <v>1076</v>
      </c>
      <c r="D468">
        <v>3</v>
      </c>
      <c r="E468">
        <v>1967.46</v>
      </c>
      <c r="F468">
        <v>5902.38</v>
      </c>
      <c r="G468" t="str">
        <f t="shared" si="7"/>
        <v>August</v>
      </c>
      <c r="H468" s="1">
        <v>44420</v>
      </c>
      <c r="I468" t="s">
        <v>1095</v>
      </c>
      <c r="J468" t="s">
        <v>1084</v>
      </c>
    </row>
    <row r="469" spans="1:10" x14ac:dyDescent="0.3">
      <c r="A469" t="s">
        <v>1557</v>
      </c>
      <c r="B469" t="s">
        <v>569</v>
      </c>
      <c r="C469" t="s">
        <v>1091</v>
      </c>
      <c r="D469">
        <v>4</v>
      </c>
      <c r="E469">
        <v>1150.6199999999999</v>
      </c>
      <c r="F469">
        <v>4602.4799999999996</v>
      </c>
      <c r="G469" t="str">
        <f t="shared" si="7"/>
        <v>December</v>
      </c>
      <c r="H469" s="1">
        <v>44167</v>
      </c>
      <c r="I469" t="s">
        <v>1087</v>
      </c>
      <c r="J469" t="s">
        <v>1084</v>
      </c>
    </row>
    <row r="470" spans="1:10" x14ac:dyDescent="0.3">
      <c r="A470" t="s">
        <v>1558</v>
      </c>
      <c r="B470" t="s">
        <v>428</v>
      </c>
      <c r="C470" t="s">
        <v>1097</v>
      </c>
      <c r="D470">
        <v>5</v>
      </c>
      <c r="E470">
        <v>1938.05</v>
      </c>
      <c r="F470">
        <v>9690.25</v>
      </c>
      <c r="G470" t="str">
        <f t="shared" si="7"/>
        <v>March</v>
      </c>
      <c r="H470" s="1">
        <v>43902</v>
      </c>
      <c r="I470" t="s">
        <v>1087</v>
      </c>
      <c r="J470" t="s">
        <v>1079</v>
      </c>
    </row>
    <row r="471" spans="1:10" x14ac:dyDescent="0.3">
      <c r="A471" t="s">
        <v>1559</v>
      </c>
      <c r="B471" t="s">
        <v>322</v>
      </c>
      <c r="C471" t="s">
        <v>1081</v>
      </c>
      <c r="D471">
        <v>3</v>
      </c>
      <c r="E471">
        <v>705.51</v>
      </c>
      <c r="F471">
        <v>2116.5300000000002</v>
      </c>
      <c r="G471" t="str">
        <f t="shared" si="7"/>
        <v>April</v>
      </c>
      <c r="H471" s="1">
        <v>45020</v>
      </c>
      <c r="I471" t="s">
        <v>1073</v>
      </c>
      <c r="J471" t="s">
        <v>1093</v>
      </c>
    </row>
    <row r="472" spans="1:10" x14ac:dyDescent="0.3">
      <c r="A472" t="s">
        <v>1560</v>
      </c>
      <c r="B472" t="s">
        <v>338</v>
      </c>
      <c r="C472" t="s">
        <v>1091</v>
      </c>
      <c r="D472">
        <v>3</v>
      </c>
      <c r="E472">
        <v>143.19999999999999</v>
      </c>
      <c r="F472">
        <v>429.6</v>
      </c>
      <c r="G472" t="str">
        <f t="shared" si="7"/>
        <v>December</v>
      </c>
      <c r="H472" s="1">
        <v>44896</v>
      </c>
      <c r="I472" t="s">
        <v>1077</v>
      </c>
      <c r="J472" t="s">
        <v>1084</v>
      </c>
    </row>
    <row r="473" spans="1:10" x14ac:dyDescent="0.3">
      <c r="A473" t="s">
        <v>1561</v>
      </c>
      <c r="B473" t="s">
        <v>524</v>
      </c>
      <c r="C473" t="s">
        <v>1109</v>
      </c>
      <c r="D473">
        <v>5</v>
      </c>
      <c r="E473">
        <v>663.57</v>
      </c>
      <c r="F473">
        <v>3317.85</v>
      </c>
      <c r="G473" t="str">
        <f t="shared" si="7"/>
        <v>December</v>
      </c>
      <c r="H473" s="1">
        <v>45999</v>
      </c>
      <c r="I473" t="s">
        <v>1077</v>
      </c>
      <c r="J473" t="s">
        <v>1079</v>
      </c>
    </row>
    <row r="474" spans="1:10" x14ac:dyDescent="0.3">
      <c r="A474" t="s">
        <v>1562</v>
      </c>
      <c r="B474" t="s">
        <v>286</v>
      </c>
      <c r="C474" t="s">
        <v>1076</v>
      </c>
      <c r="D474">
        <v>4</v>
      </c>
      <c r="E474">
        <v>684.74</v>
      </c>
      <c r="F474">
        <v>2738.96</v>
      </c>
      <c r="G474" t="str">
        <f t="shared" si="7"/>
        <v>October</v>
      </c>
      <c r="H474" s="1">
        <v>44120</v>
      </c>
      <c r="I474" t="s">
        <v>1077</v>
      </c>
      <c r="J474" t="s">
        <v>1093</v>
      </c>
    </row>
    <row r="475" spans="1:10" x14ac:dyDescent="0.3">
      <c r="A475" t="s">
        <v>1563</v>
      </c>
      <c r="B475" t="s">
        <v>134</v>
      </c>
      <c r="C475" t="s">
        <v>1097</v>
      </c>
      <c r="D475">
        <v>4</v>
      </c>
      <c r="E475">
        <v>1506.54</v>
      </c>
      <c r="F475">
        <v>6026.16</v>
      </c>
      <c r="G475" t="str">
        <f t="shared" si="7"/>
        <v>September</v>
      </c>
      <c r="H475" s="1">
        <v>44813</v>
      </c>
      <c r="I475" t="s">
        <v>1073</v>
      </c>
      <c r="J475" t="s">
        <v>1093</v>
      </c>
    </row>
    <row r="476" spans="1:10" x14ac:dyDescent="0.3">
      <c r="A476" t="s">
        <v>1564</v>
      </c>
      <c r="B476" t="s">
        <v>788</v>
      </c>
      <c r="C476" t="s">
        <v>1129</v>
      </c>
      <c r="D476">
        <v>4</v>
      </c>
      <c r="E476">
        <v>438.26</v>
      </c>
      <c r="F476">
        <v>1753.04</v>
      </c>
      <c r="G476" t="str">
        <f t="shared" si="7"/>
        <v>April</v>
      </c>
      <c r="H476" s="1">
        <v>44298</v>
      </c>
      <c r="I476" t="s">
        <v>1095</v>
      </c>
      <c r="J476" t="s">
        <v>1082</v>
      </c>
    </row>
    <row r="477" spans="1:10" x14ac:dyDescent="0.3">
      <c r="A477" t="s">
        <v>1565</v>
      </c>
      <c r="B477" t="s">
        <v>401</v>
      </c>
      <c r="C477" t="s">
        <v>1072</v>
      </c>
      <c r="D477">
        <v>1</v>
      </c>
      <c r="E477">
        <v>865.17</v>
      </c>
      <c r="F477">
        <v>865.17</v>
      </c>
      <c r="G477" t="str">
        <f t="shared" si="7"/>
        <v>May</v>
      </c>
      <c r="H477" s="1">
        <v>45414</v>
      </c>
      <c r="I477" t="s">
        <v>1087</v>
      </c>
      <c r="J477" t="s">
        <v>1093</v>
      </c>
    </row>
    <row r="478" spans="1:10" x14ac:dyDescent="0.3">
      <c r="A478" t="s">
        <v>1566</v>
      </c>
      <c r="B478" t="s">
        <v>160</v>
      </c>
      <c r="C478" t="s">
        <v>5</v>
      </c>
      <c r="D478">
        <v>3</v>
      </c>
      <c r="E478">
        <v>624.87</v>
      </c>
      <c r="F478">
        <v>1874.61</v>
      </c>
      <c r="G478" t="str">
        <f t="shared" si="7"/>
        <v>November</v>
      </c>
      <c r="H478" s="1">
        <v>45256</v>
      </c>
      <c r="I478" t="s">
        <v>1095</v>
      </c>
      <c r="J478" t="s">
        <v>1093</v>
      </c>
    </row>
    <row r="479" spans="1:10" x14ac:dyDescent="0.3">
      <c r="A479" t="s">
        <v>1567</v>
      </c>
      <c r="B479" t="s">
        <v>292</v>
      </c>
      <c r="C479" t="s">
        <v>1091</v>
      </c>
      <c r="D479">
        <v>4</v>
      </c>
      <c r="E479">
        <v>1046.04</v>
      </c>
      <c r="F479">
        <v>4184.16</v>
      </c>
      <c r="G479" t="str">
        <f t="shared" si="7"/>
        <v>April</v>
      </c>
      <c r="H479" s="1">
        <v>45410</v>
      </c>
      <c r="I479" t="s">
        <v>1089</v>
      </c>
      <c r="J479" t="s">
        <v>1074</v>
      </c>
    </row>
    <row r="480" spans="1:10" x14ac:dyDescent="0.3">
      <c r="A480" t="s">
        <v>1568</v>
      </c>
      <c r="B480" t="s">
        <v>937</v>
      </c>
      <c r="C480" t="s">
        <v>1109</v>
      </c>
      <c r="D480">
        <v>4</v>
      </c>
      <c r="E480">
        <v>1528.64</v>
      </c>
      <c r="F480">
        <v>6114.56</v>
      </c>
      <c r="G480" t="str">
        <f t="shared" si="7"/>
        <v>January</v>
      </c>
      <c r="H480" s="1">
        <v>45302</v>
      </c>
      <c r="I480" t="s">
        <v>1073</v>
      </c>
      <c r="J480" t="s">
        <v>1079</v>
      </c>
    </row>
    <row r="481" spans="1:10" x14ac:dyDescent="0.3">
      <c r="A481" t="s">
        <v>1569</v>
      </c>
      <c r="B481" t="s">
        <v>494</v>
      </c>
      <c r="C481" t="s">
        <v>1109</v>
      </c>
      <c r="D481">
        <v>2</v>
      </c>
      <c r="E481">
        <v>1958.84</v>
      </c>
      <c r="F481">
        <v>3917.68</v>
      </c>
      <c r="G481" t="str">
        <f t="shared" si="7"/>
        <v>May</v>
      </c>
      <c r="H481" s="1">
        <v>45795</v>
      </c>
      <c r="I481" t="s">
        <v>1073</v>
      </c>
      <c r="J481" t="s">
        <v>1093</v>
      </c>
    </row>
    <row r="482" spans="1:10" x14ac:dyDescent="0.3">
      <c r="A482" t="s">
        <v>1570</v>
      </c>
      <c r="B482" t="s">
        <v>401</v>
      </c>
      <c r="C482" t="s">
        <v>1129</v>
      </c>
      <c r="D482">
        <v>1</v>
      </c>
      <c r="E482">
        <v>394.44</v>
      </c>
      <c r="F482">
        <v>394.44</v>
      </c>
      <c r="G482" t="str">
        <f t="shared" si="7"/>
        <v>April</v>
      </c>
      <c r="H482" s="1">
        <v>44676</v>
      </c>
      <c r="I482" t="s">
        <v>1095</v>
      </c>
      <c r="J482" t="s">
        <v>1084</v>
      </c>
    </row>
    <row r="483" spans="1:10" x14ac:dyDescent="0.3">
      <c r="A483" t="s">
        <v>1571</v>
      </c>
      <c r="B483" t="s">
        <v>1029</v>
      </c>
      <c r="C483" t="s">
        <v>1091</v>
      </c>
      <c r="D483">
        <v>4</v>
      </c>
      <c r="E483">
        <v>1556.26</v>
      </c>
      <c r="F483">
        <v>6225.04</v>
      </c>
      <c r="G483" t="str">
        <f t="shared" si="7"/>
        <v>April</v>
      </c>
      <c r="H483" s="1">
        <v>45776</v>
      </c>
      <c r="I483" t="s">
        <v>1095</v>
      </c>
      <c r="J483" t="s">
        <v>1093</v>
      </c>
    </row>
    <row r="484" spans="1:10" x14ac:dyDescent="0.3">
      <c r="A484" t="s">
        <v>1572</v>
      </c>
      <c r="B484" t="s">
        <v>377</v>
      </c>
      <c r="C484" t="s">
        <v>1097</v>
      </c>
      <c r="D484">
        <v>3</v>
      </c>
      <c r="E484">
        <v>1440.86</v>
      </c>
      <c r="F484">
        <v>4322.58</v>
      </c>
      <c r="G484" t="str">
        <f t="shared" si="7"/>
        <v>March</v>
      </c>
      <c r="H484" s="1">
        <v>43917</v>
      </c>
      <c r="I484" t="s">
        <v>1077</v>
      </c>
      <c r="J484" t="s">
        <v>1093</v>
      </c>
    </row>
    <row r="485" spans="1:10" x14ac:dyDescent="0.3">
      <c r="A485" t="s">
        <v>1573</v>
      </c>
      <c r="B485" t="s">
        <v>292</v>
      </c>
      <c r="C485" t="s">
        <v>1072</v>
      </c>
      <c r="D485">
        <v>3</v>
      </c>
      <c r="E485">
        <v>1226.96</v>
      </c>
      <c r="F485">
        <v>3680.88</v>
      </c>
      <c r="G485" t="str">
        <f t="shared" si="7"/>
        <v>January</v>
      </c>
      <c r="H485" s="1">
        <v>45683</v>
      </c>
      <c r="I485" t="s">
        <v>1089</v>
      </c>
      <c r="J485" t="s">
        <v>1074</v>
      </c>
    </row>
    <row r="486" spans="1:10" x14ac:dyDescent="0.3">
      <c r="A486" t="s">
        <v>1574</v>
      </c>
      <c r="B486" t="s">
        <v>533</v>
      </c>
      <c r="C486" t="s">
        <v>1109</v>
      </c>
      <c r="D486">
        <v>1</v>
      </c>
      <c r="E486">
        <v>1810.04</v>
      </c>
      <c r="F486">
        <v>1810.04</v>
      </c>
      <c r="G486" t="str">
        <f t="shared" si="7"/>
        <v>May</v>
      </c>
      <c r="H486" s="1">
        <v>44695</v>
      </c>
      <c r="I486" t="s">
        <v>1077</v>
      </c>
      <c r="J486" t="s">
        <v>1084</v>
      </c>
    </row>
    <row r="487" spans="1:10" x14ac:dyDescent="0.3">
      <c r="A487" t="s">
        <v>1575</v>
      </c>
      <c r="B487" t="s">
        <v>332</v>
      </c>
      <c r="C487" t="s">
        <v>1072</v>
      </c>
      <c r="D487">
        <v>2</v>
      </c>
      <c r="E487">
        <v>388.74</v>
      </c>
      <c r="F487">
        <v>777.48</v>
      </c>
      <c r="G487" t="str">
        <f t="shared" si="7"/>
        <v>July</v>
      </c>
      <c r="H487" s="1">
        <v>43651</v>
      </c>
      <c r="I487" t="s">
        <v>1087</v>
      </c>
      <c r="J487" t="s">
        <v>1084</v>
      </c>
    </row>
    <row r="488" spans="1:10" x14ac:dyDescent="0.3">
      <c r="A488" t="s">
        <v>1576</v>
      </c>
      <c r="B488" t="s">
        <v>599</v>
      </c>
      <c r="C488" t="s">
        <v>1091</v>
      </c>
      <c r="D488">
        <v>5</v>
      </c>
      <c r="E488">
        <v>27.99</v>
      </c>
      <c r="F488">
        <v>139.94999999999999</v>
      </c>
      <c r="G488" t="str">
        <f t="shared" si="7"/>
        <v>April</v>
      </c>
      <c r="H488" s="1">
        <v>43941</v>
      </c>
      <c r="I488" t="s">
        <v>1077</v>
      </c>
      <c r="J488" t="s">
        <v>1082</v>
      </c>
    </row>
    <row r="489" spans="1:10" x14ac:dyDescent="0.3">
      <c r="A489" t="s">
        <v>1577</v>
      </c>
      <c r="B489" t="s">
        <v>875</v>
      </c>
      <c r="C489" t="s">
        <v>1072</v>
      </c>
      <c r="D489">
        <v>3</v>
      </c>
      <c r="E489">
        <v>636.98</v>
      </c>
      <c r="F489">
        <v>1910.94</v>
      </c>
      <c r="G489" t="str">
        <f t="shared" si="7"/>
        <v>September</v>
      </c>
      <c r="H489" s="1">
        <v>45179</v>
      </c>
      <c r="I489" t="s">
        <v>1073</v>
      </c>
      <c r="J489" t="s">
        <v>1093</v>
      </c>
    </row>
    <row r="490" spans="1:10" x14ac:dyDescent="0.3">
      <c r="A490" t="s">
        <v>1578</v>
      </c>
      <c r="B490" t="s">
        <v>898</v>
      </c>
      <c r="C490" t="s">
        <v>1106</v>
      </c>
      <c r="D490">
        <v>1</v>
      </c>
      <c r="E490">
        <v>607.37</v>
      </c>
      <c r="F490">
        <v>607.37</v>
      </c>
      <c r="G490" t="str">
        <f t="shared" si="7"/>
        <v>January</v>
      </c>
      <c r="H490" s="1">
        <v>44957</v>
      </c>
      <c r="I490" t="s">
        <v>1095</v>
      </c>
      <c r="J490" t="s">
        <v>1093</v>
      </c>
    </row>
    <row r="491" spans="1:10" x14ac:dyDescent="0.3">
      <c r="A491" t="s">
        <v>1579</v>
      </c>
      <c r="B491" t="s">
        <v>820</v>
      </c>
      <c r="C491" t="s">
        <v>1097</v>
      </c>
      <c r="D491">
        <v>3</v>
      </c>
      <c r="E491">
        <v>32.979999999999997</v>
      </c>
      <c r="F491">
        <v>98.94</v>
      </c>
      <c r="G491" t="str">
        <f t="shared" si="7"/>
        <v>August</v>
      </c>
      <c r="H491" s="1">
        <v>43689</v>
      </c>
      <c r="I491" t="s">
        <v>1095</v>
      </c>
      <c r="J491" t="s">
        <v>1074</v>
      </c>
    </row>
    <row r="492" spans="1:10" x14ac:dyDescent="0.3">
      <c r="A492" t="s">
        <v>1580</v>
      </c>
      <c r="B492" t="s">
        <v>234</v>
      </c>
      <c r="C492" t="s">
        <v>1072</v>
      </c>
      <c r="D492">
        <v>2</v>
      </c>
      <c r="E492">
        <v>1245.4100000000001</v>
      </c>
      <c r="F492">
        <v>2490.8200000000002</v>
      </c>
      <c r="G492" t="str">
        <f t="shared" si="7"/>
        <v>August</v>
      </c>
      <c r="H492" s="1">
        <v>45160</v>
      </c>
      <c r="I492" t="s">
        <v>1087</v>
      </c>
      <c r="J492" t="s">
        <v>1093</v>
      </c>
    </row>
    <row r="493" spans="1:10" x14ac:dyDescent="0.3">
      <c r="A493" t="s">
        <v>1581</v>
      </c>
      <c r="B493" t="s">
        <v>251</v>
      </c>
      <c r="C493" t="s">
        <v>1091</v>
      </c>
      <c r="D493">
        <v>4</v>
      </c>
      <c r="E493">
        <v>967.17</v>
      </c>
      <c r="F493">
        <v>3868.68</v>
      </c>
      <c r="G493" t="str">
        <f t="shared" si="7"/>
        <v>June</v>
      </c>
      <c r="H493" s="1">
        <v>45105</v>
      </c>
      <c r="I493" t="s">
        <v>1089</v>
      </c>
      <c r="J493" t="s">
        <v>1079</v>
      </c>
    </row>
    <row r="494" spans="1:10" x14ac:dyDescent="0.3">
      <c r="A494" t="s">
        <v>1582</v>
      </c>
      <c r="B494" t="s">
        <v>509</v>
      </c>
      <c r="C494" t="s">
        <v>5</v>
      </c>
      <c r="D494">
        <v>1</v>
      </c>
      <c r="E494">
        <v>1953.27</v>
      </c>
      <c r="F494">
        <v>1953.27</v>
      </c>
      <c r="G494" t="str">
        <f t="shared" si="7"/>
        <v>March</v>
      </c>
      <c r="H494" s="1">
        <v>45373</v>
      </c>
      <c r="I494" t="s">
        <v>1073</v>
      </c>
      <c r="J494" t="s">
        <v>1079</v>
      </c>
    </row>
    <row r="495" spans="1:10" x14ac:dyDescent="0.3">
      <c r="A495" t="s">
        <v>1583</v>
      </c>
      <c r="B495" t="s">
        <v>264</v>
      </c>
      <c r="C495" t="s">
        <v>1109</v>
      </c>
      <c r="D495">
        <v>2</v>
      </c>
      <c r="E495">
        <v>506.34</v>
      </c>
      <c r="F495">
        <v>1012.68</v>
      </c>
      <c r="G495" t="str">
        <f t="shared" si="7"/>
        <v>February</v>
      </c>
      <c r="H495" s="1">
        <v>44970</v>
      </c>
      <c r="I495" t="s">
        <v>1089</v>
      </c>
      <c r="J495" t="s">
        <v>1082</v>
      </c>
    </row>
    <row r="496" spans="1:10" x14ac:dyDescent="0.3">
      <c r="A496" t="s">
        <v>1584</v>
      </c>
      <c r="B496" t="s">
        <v>574</v>
      </c>
      <c r="C496" t="s">
        <v>1135</v>
      </c>
      <c r="D496">
        <v>4</v>
      </c>
      <c r="E496">
        <v>1490.29</v>
      </c>
      <c r="F496">
        <v>5961.16</v>
      </c>
      <c r="G496" t="str">
        <f t="shared" si="7"/>
        <v>May</v>
      </c>
      <c r="H496" s="1">
        <v>45415</v>
      </c>
      <c r="I496" t="s">
        <v>1089</v>
      </c>
      <c r="J496" t="s">
        <v>1082</v>
      </c>
    </row>
    <row r="497" spans="1:10" x14ac:dyDescent="0.3">
      <c r="A497" t="s">
        <v>1585</v>
      </c>
      <c r="B497" t="s">
        <v>574</v>
      </c>
      <c r="C497" t="s">
        <v>1076</v>
      </c>
      <c r="D497">
        <v>5</v>
      </c>
      <c r="E497">
        <v>1401.77</v>
      </c>
      <c r="F497">
        <v>7008.85</v>
      </c>
      <c r="G497" t="str">
        <f t="shared" si="7"/>
        <v>April</v>
      </c>
      <c r="H497" s="1">
        <v>43946</v>
      </c>
      <c r="I497" t="s">
        <v>1073</v>
      </c>
      <c r="J497" t="s">
        <v>1079</v>
      </c>
    </row>
    <row r="498" spans="1:10" x14ac:dyDescent="0.3">
      <c r="A498" t="s">
        <v>1586</v>
      </c>
      <c r="B498" t="s">
        <v>634</v>
      </c>
      <c r="C498" t="s">
        <v>1072</v>
      </c>
      <c r="D498">
        <v>1</v>
      </c>
      <c r="E498">
        <v>1262.42</v>
      </c>
      <c r="F498">
        <v>1262.42</v>
      </c>
      <c r="G498" t="str">
        <f t="shared" si="7"/>
        <v>July</v>
      </c>
      <c r="H498" s="1">
        <v>45501</v>
      </c>
      <c r="I498" t="s">
        <v>1087</v>
      </c>
      <c r="J498" t="s">
        <v>1084</v>
      </c>
    </row>
    <row r="499" spans="1:10" x14ac:dyDescent="0.3">
      <c r="A499" t="s">
        <v>1587</v>
      </c>
      <c r="B499" t="s">
        <v>297</v>
      </c>
      <c r="C499" t="s">
        <v>1072</v>
      </c>
      <c r="D499">
        <v>3</v>
      </c>
      <c r="E499">
        <v>684.68</v>
      </c>
      <c r="F499">
        <v>2054.04</v>
      </c>
      <c r="G499" t="str">
        <f t="shared" si="7"/>
        <v>May</v>
      </c>
      <c r="H499" s="1">
        <v>44684</v>
      </c>
      <c r="I499" t="s">
        <v>1073</v>
      </c>
      <c r="J499" t="s">
        <v>1084</v>
      </c>
    </row>
    <row r="500" spans="1:10" x14ac:dyDescent="0.3">
      <c r="A500" t="s">
        <v>1588</v>
      </c>
      <c r="B500" t="s">
        <v>1053</v>
      </c>
      <c r="C500" t="s">
        <v>5</v>
      </c>
      <c r="D500">
        <v>1</v>
      </c>
      <c r="E500">
        <v>10.88</v>
      </c>
      <c r="F500">
        <v>10.88</v>
      </c>
      <c r="G500" t="str">
        <f t="shared" si="7"/>
        <v>November</v>
      </c>
      <c r="H500" s="1">
        <v>44506</v>
      </c>
      <c r="I500" t="s">
        <v>1073</v>
      </c>
      <c r="J500" t="s">
        <v>1093</v>
      </c>
    </row>
    <row r="501" spans="1:10" x14ac:dyDescent="0.3">
      <c r="A501" t="s">
        <v>1589</v>
      </c>
      <c r="B501" t="s">
        <v>478</v>
      </c>
      <c r="C501" t="s">
        <v>5</v>
      </c>
      <c r="D501">
        <v>2</v>
      </c>
      <c r="E501">
        <v>1684.03</v>
      </c>
      <c r="F501">
        <v>3368.06</v>
      </c>
      <c r="G501" t="str">
        <f t="shared" si="7"/>
        <v>March</v>
      </c>
      <c r="H501" s="1">
        <v>44994</v>
      </c>
      <c r="I501" t="s">
        <v>1089</v>
      </c>
      <c r="J501" t="s">
        <v>1093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86F4-E48C-4FCF-A0ED-ABF6178B131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44D504-1416-4A32-91E2-815E6F6530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poonam parab</cp:lastModifiedBy>
  <dcterms:created xsi:type="dcterms:W3CDTF">2025-12-11T09:05:15Z</dcterms:created>
  <dcterms:modified xsi:type="dcterms:W3CDTF">2025-12-21T17:16:45Z</dcterms:modified>
</cp:coreProperties>
</file>